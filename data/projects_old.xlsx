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KEI\Documents\Messenger Download\"/>
    </mc:Choice>
  </mc:AlternateContent>
  <xr:revisionPtr revIDLastSave="0" documentId="8_{39C2832F-DC9B-47E5-A119-75CBD41C0219}" xr6:coauthVersionLast="47" xr6:coauthVersionMax="47" xr10:uidLastSave="{00000000-0000-0000-0000-000000000000}"/>
  <bookViews>
    <workbookView xWindow="-120" yWindow="-120" windowWidth="29040" windowHeight="15720" xr2:uid="{3C5D53B1-B2EF-4151-8264-D443F1D8BF97}"/>
  </bookViews>
  <sheets>
    <sheet name="List" sheetId="1" r:id="rId1"/>
    <sheet name="DB1" sheetId="3" r:id="rId2"/>
    <sheet name="DB2" sheetId="4" r:id="rId3"/>
  </sheets>
  <definedNames>
    <definedName name="_xlnm._FilterDatabase" localSheetId="1" hidden="1">'DB1'!$A$1:$S$298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5" i="1" l="1"/>
  <c r="A6" i="1"/>
  <c r="A7" i="1"/>
  <c r="A8" i="1"/>
  <c r="A9" i="1"/>
  <c r="A10" i="1"/>
  <c r="A11" i="1"/>
  <c r="A12" i="1"/>
  <c r="A13" i="1"/>
  <c r="A14" i="1"/>
  <c r="A15" i="1"/>
  <c r="C15" i="1" s="1"/>
  <c r="A16" i="1"/>
  <c r="F16" i="1" s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F37" i="1" s="1"/>
  <c r="A38" i="1"/>
  <c r="C38" i="1" s="1"/>
  <c r="A39" i="1"/>
  <c r="A40" i="1"/>
  <c r="F40" i="1" s="1"/>
  <c r="A41" i="1"/>
  <c r="A42" i="1"/>
  <c r="A43" i="1"/>
  <c r="A44" i="1"/>
  <c r="A45" i="1"/>
  <c r="F45" i="1" s="1"/>
  <c r="A46" i="1"/>
  <c r="C46" i="1" s="1"/>
  <c r="A47" i="1"/>
  <c r="B47" i="1" s="1" a="1"/>
  <c r="B47" i="1" s="1"/>
  <c r="A48" i="1"/>
  <c r="A49" i="1"/>
  <c r="F49" i="1" s="1"/>
  <c r="A50" i="1"/>
  <c r="C50" i="1" s="1"/>
  <c r="A51" i="1"/>
  <c r="A52" i="1"/>
  <c r="A53" i="1"/>
  <c r="A54" i="1"/>
  <c r="A55" i="1"/>
  <c r="A56" i="1"/>
  <c r="A57" i="1"/>
  <c r="A58" i="1"/>
  <c r="E58" i="1" s="1"/>
  <c r="A59" i="1"/>
  <c r="H59" i="1" s="1"/>
  <c r="A60" i="1"/>
  <c r="G60" i="1" s="1"/>
  <c r="A61" i="1"/>
  <c r="G61" i="1" s="1"/>
  <c r="A62" i="1"/>
  <c r="C62" i="1" s="1"/>
  <c r="A63" i="1"/>
  <c r="C63" i="1" s="1"/>
  <c r="A64" i="1"/>
  <c r="E64" i="1" s="1"/>
  <c r="A65" i="1"/>
  <c r="A66" i="1"/>
  <c r="A67" i="1"/>
  <c r="A68" i="1"/>
  <c r="A69" i="1"/>
  <c r="A70" i="1"/>
  <c r="F70" i="1" s="1"/>
  <c r="A71" i="1"/>
  <c r="A72" i="1"/>
  <c r="H72" i="1" s="1"/>
  <c r="A73" i="1"/>
  <c r="C73" i="1" s="1"/>
  <c r="A74" i="1"/>
  <c r="H74" i="1" s="1"/>
  <c r="A75" i="1"/>
  <c r="H75" i="1" s="1"/>
  <c r="A76" i="1"/>
  <c r="H76" i="1" s="1"/>
  <c r="A77" i="1"/>
  <c r="A78" i="1"/>
  <c r="A79" i="1"/>
  <c r="A80" i="1"/>
  <c r="A81" i="1"/>
  <c r="A82" i="1"/>
  <c r="A83" i="1"/>
  <c r="A84" i="1"/>
  <c r="A85" i="1"/>
  <c r="H85" i="1" s="1"/>
  <c r="A86" i="1"/>
  <c r="C86" i="1" s="1"/>
  <c r="A87" i="1"/>
  <c r="C87" i="1" s="1"/>
  <c r="A88" i="1"/>
  <c r="G88" i="1" s="1"/>
  <c r="A89" i="1"/>
  <c r="A90" i="1"/>
  <c r="A91" i="1"/>
  <c r="A92" i="1"/>
  <c r="A93" i="1"/>
  <c r="A94" i="1"/>
  <c r="A95" i="1"/>
  <c r="A96" i="1"/>
  <c r="A97" i="1"/>
  <c r="A98" i="1"/>
  <c r="A99" i="1"/>
  <c r="C99" i="1" s="1"/>
  <c r="A100" i="1"/>
  <c r="C100" i="1" s="1"/>
  <c r="A101" i="1"/>
  <c r="A102" i="1"/>
  <c r="A103" i="1"/>
  <c r="A104" i="1"/>
  <c r="A105" i="1"/>
  <c r="A106" i="1"/>
  <c r="A107" i="1"/>
  <c r="A108" i="1"/>
  <c r="A109" i="1"/>
  <c r="A110" i="1"/>
  <c r="A111" i="1"/>
  <c r="A112" i="1"/>
  <c r="B112" i="1" s="1" a="1"/>
  <c r="B112" i="1" s="1"/>
  <c r="A113" i="1"/>
  <c r="A114" i="1"/>
  <c r="A115" i="1"/>
  <c r="A116" i="1"/>
  <c r="A117" i="1"/>
  <c r="A118" i="1"/>
  <c r="A119" i="1"/>
  <c r="A120" i="1"/>
  <c r="A121" i="1"/>
  <c r="A122" i="1"/>
  <c r="H122" i="1" s="1"/>
  <c r="A123" i="1"/>
  <c r="C123" i="1" s="1"/>
  <c r="A124" i="1"/>
  <c r="G124" i="1" s="1"/>
  <c r="A125" i="1"/>
  <c r="A126" i="1"/>
  <c r="A127" i="1"/>
  <c r="A128" i="1"/>
  <c r="A129" i="1"/>
  <c r="A130" i="1"/>
  <c r="G130" i="1" s="1"/>
  <c r="A131" i="1"/>
  <c r="H131" i="1" s="1"/>
  <c r="A132" i="1"/>
  <c r="H132" i="1" s="1"/>
  <c r="A133" i="1"/>
  <c r="C133" i="1" s="1"/>
  <c r="A134" i="1"/>
  <c r="H134" i="1" s="1"/>
  <c r="A135" i="1"/>
  <c r="C135" i="1" s="1"/>
  <c r="A136" i="1"/>
  <c r="B136" i="1" s="1" a="1"/>
  <c r="B136" i="1" s="1"/>
  <c r="A137" i="1"/>
  <c r="A138" i="1"/>
  <c r="A139" i="1"/>
  <c r="A140" i="1"/>
  <c r="H140" i="1" s="1"/>
  <c r="A141" i="1"/>
  <c r="A142" i="1"/>
  <c r="F142" i="1" s="1"/>
  <c r="A143" i="1"/>
  <c r="A144" i="1"/>
  <c r="C144" i="1" s="1"/>
  <c r="A145" i="1"/>
  <c r="G145" i="1" s="1"/>
  <c r="A146" i="1"/>
  <c r="C146" i="1" s="1"/>
  <c r="A147" i="1"/>
  <c r="C147" i="1" s="1"/>
  <c r="A148" i="1"/>
  <c r="E148" i="1" s="1"/>
  <c r="A149" i="1"/>
  <c r="A150" i="1"/>
  <c r="A151" i="1"/>
  <c r="A152" i="1"/>
  <c r="A153" i="1"/>
  <c r="A154" i="1"/>
  <c r="G154" i="1" s="1"/>
  <c r="A155" i="1"/>
  <c r="C155" i="1" s="1"/>
  <c r="A156" i="1"/>
  <c r="A157" i="1"/>
  <c r="A158" i="1"/>
  <c r="A159" i="1"/>
  <c r="C159" i="1" s="1"/>
  <c r="A160" i="1"/>
  <c r="H160" i="1" s="1"/>
  <c r="A161" i="1"/>
  <c r="A162" i="1"/>
  <c r="A163" i="1"/>
  <c r="A164" i="1"/>
  <c r="A165" i="1"/>
  <c r="A166" i="1"/>
  <c r="A167" i="1"/>
  <c r="A168" i="1"/>
  <c r="A169" i="1"/>
  <c r="A170" i="1"/>
  <c r="A171" i="1"/>
  <c r="A172" i="1"/>
  <c r="B172" i="1" s="1" a="1"/>
  <c r="B172" i="1" s="1"/>
  <c r="A173" i="1"/>
  <c r="A174" i="1"/>
  <c r="A175" i="1"/>
  <c r="A176" i="1"/>
  <c r="A177" i="1"/>
  <c r="A178" i="1"/>
  <c r="A179" i="1"/>
  <c r="H179" i="1" s="1"/>
  <c r="A180" i="1"/>
  <c r="A181" i="1"/>
  <c r="H181" i="1" s="1"/>
  <c r="A182" i="1"/>
  <c r="C182" i="1" s="1"/>
  <c r="A183" i="1"/>
  <c r="A184" i="1"/>
  <c r="A185" i="1"/>
  <c r="A186" i="1"/>
  <c r="A187" i="1"/>
  <c r="A188" i="1"/>
  <c r="A189" i="1"/>
  <c r="A190" i="1"/>
  <c r="A191" i="1"/>
  <c r="A192" i="1"/>
  <c r="A193" i="1"/>
  <c r="G193" i="1" s="1"/>
  <c r="A194" i="1"/>
  <c r="G194" i="1" s="1"/>
  <c r="A195" i="1"/>
  <c r="C195" i="1" s="1"/>
  <c r="A196" i="1"/>
  <c r="C196" i="1" s="1"/>
  <c r="A197" i="1"/>
  <c r="A198" i="1"/>
  <c r="A199" i="1"/>
  <c r="A200" i="1"/>
  <c r="A201" i="1"/>
  <c r="A202" i="1"/>
  <c r="A203" i="1"/>
  <c r="A204" i="1"/>
  <c r="A205" i="1"/>
  <c r="H205" i="1" s="1"/>
  <c r="A206" i="1"/>
  <c r="A207" i="1"/>
  <c r="A208" i="1"/>
  <c r="B208" i="1" s="1" a="1"/>
  <c r="B208" i="1" s="1"/>
  <c r="A209" i="1"/>
  <c r="A210" i="1"/>
  <c r="A211" i="1"/>
  <c r="A212" i="1"/>
  <c r="A213" i="1"/>
  <c r="H213" i="1" s="1"/>
  <c r="A214" i="1"/>
  <c r="H214" i="1" s="1"/>
  <c r="A215" i="1"/>
  <c r="C215" i="1" s="1"/>
  <c r="A216" i="1"/>
  <c r="C216" i="1" s="1"/>
  <c r="A217" i="1"/>
  <c r="B217" i="1" s="1" a="1"/>
  <c r="B217" i="1" s="1"/>
  <c r="A218" i="1"/>
  <c r="C218" i="1" s="1"/>
  <c r="A219" i="1"/>
  <c r="C219" i="1" s="1"/>
  <c r="A220" i="1"/>
  <c r="F220" i="1" s="1"/>
  <c r="A221" i="1"/>
  <c r="A222" i="1"/>
  <c r="A223" i="1"/>
  <c r="A224" i="1"/>
  <c r="A225" i="1"/>
  <c r="B225" i="1" s="1" a="1"/>
  <c r="B225" i="1" s="1"/>
  <c r="A226" i="1"/>
  <c r="A227" i="1"/>
  <c r="A228" i="1"/>
  <c r="B228" i="1" s="1" a="1"/>
  <c r="B228" i="1" s="1"/>
  <c r="A229" i="1"/>
  <c r="G229" i="1" s="1"/>
  <c r="A230" i="1"/>
  <c r="A231" i="1"/>
  <c r="H231" i="1" s="1"/>
  <c r="A232" i="1"/>
  <c r="G232" i="1" s="1"/>
  <c r="A233" i="1"/>
  <c r="A234" i="1"/>
  <c r="A235" i="1"/>
  <c r="A236" i="1"/>
  <c r="A237" i="1"/>
  <c r="H237" i="1" s="1"/>
  <c r="A238" i="1"/>
  <c r="G238" i="1" s="1"/>
  <c r="A239" i="1"/>
  <c r="E239" i="1" s="1"/>
  <c r="A240" i="1"/>
  <c r="H240" i="1" s="1"/>
  <c r="A241" i="1"/>
  <c r="H241" i="1" s="1"/>
  <c r="A242" i="1"/>
  <c r="A243" i="1"/>
  <c r="H243" i="1" s="1"/>
  <c r="A244" i="1"/>
  <c r="G244" i="1" s="1"/>
  <c r="A245" i="1"/>
  <c r="A246" i="1"/>
  <c r="A247" i="1"/>
  <c r="A248" i="1"/>
  <c r="A249" i="1"/>
  <c r="A250" i="1"/>
  <c r="A251" i="1"/>
  <c r="F251" i="1" s="1"/>
  <c r="A252" i="1"/>
  <c r="C252" i="1" s="1"/>
  <c r="A253" i="1"/>
  <c r="A254" i="1"/>
  <c r="F254" i="1" s="1"/>
  <c r="A255" i="1"/>
  <c r="G255" i="1" s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H268" i="1" s="1"/>
  <c r="A269" i="1"/>
  <c r="A270" i="1"/>
  <c r="A271" i="1"/>
  <c r="A272" i="1"/>
  <c r="A273" i="1"/>
  <c r="A274" i="1"/>
  <c r="A275" i="1"/>
  <c r="A276" i="1"/>
  <c r="A277" i="1"/>
  <c r="A278" i="1"/>
  <c r="H278" i="1" s="1"/>
  <c r="A279" i="1"/>
  <c r="A280" i="1"/>
  <c r="A281" i="1"/>
  <c r="A282" i="1"/>
  <c r="A283" i="1"/>
  <c r="A284" i="1"/>
  <c r="B284" i="1" s="1" a="1"/>
  <c r="B284" i="1" s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E297" i="1" s="1"/>
  <c r="A298" i="1"/>
  <c r="A299" i="1"/>
  <c r="B299" i="1" s="1" a="1"/>
  <c r="B299" i="1" s="1"/>
  <c r="A300" i="1"/>
  <c r="H300" i="1" s="1"/>
  <c r="A301" i="1"/>
  <c r="H301" i="1" s="1"/>
  <c r="A302" i="1"/>
  <c r="A303" i="1"/>
  <c r="A304" i="1"/>
  <c r="A305" i="1"/>
  <c r="A306" i="1"/>
  <c r="A307" i="1"/>
  <c r="A308" i="1"/>
  <c r="A309" i="1"/>
  <c r="A310" i="1"/>
  <c r="A311" i="1"/>
  <c r="O262" i="3"/>
  <c r="O263" i="3"/>
  <c r="R263" i="3"/>
  <c r="S263" i="3"/>
  <c r="O264" i="3"/>
  <c r="R264" i="3"/>
  <c r="S264" i="3"/>
  <c r="R3" i="3"/>
  <c r="S3" i="3"/>
  <c r="R4" i="3"/>
  <c r="S4" i="3"/>
  <c r="R5" i="3"/>
  <c r="S5" i="3"/>
  <c r="R6" i="3"/>
  <c r="S6" i="3"/>
  <c r="R7" i="3"/>
  <c r="S7" i="3"/>
  <c r="R8" i="3"/>
  <c r="S8" i="3"/>
  <c r="R9" i="3"/>
  <c r="S9" i="3"/>
  <c r="R10" i="3"/>
  <c r="S10" i="3"/>
  <c r="R11" i="3"/>
  <c r="S11" i="3"/>
  <c r="R12" i="3"/>
  <c r="S12" i="3"/>
  <c r="R13" i="3"/>
  <c r="S13" i="3"/>
  <c r="R14" i="3"/>
  <c r="S14" i="3"/>
  <c r="R15" i="3"/>
  <c r="S15" i="3"/>
  <c r="R16" i="3"/>
  <c r="S16" i="3"/>
  <c r="R17" i="3"/>
  <c r="S17" i="3"/>
  <c r="R18" i="3"/>
  <c r="S18" i="3"/>
  <c r="R19" i="3"/>
  <c r="S19" i="3"/>
  <c r="R20" i="3"/>
  <c r="S20" i="3"/>
  <c r="R21" i="3"/>
  <c r="S21" i="3"/>
  <c r="R22" i="3"/>
  <c r="S22" i="3"/>
  <c r="R23" i="3"/>
  <c r="S23" i="3"/>
  <c r="R24" i="3"/>
  <c r="S24" i="3"/>
  <c r="R25" i="3"/>
  <c r="S25" i="3"/>
  <c r="R26" i="3"/>
  <c r="S26" i="3"/>
  <c r="R27" i="3"/>
  <c r="S27" i="3"/>
  <c r="R28" i="3"/>
  <c r="S28" i="3"/>
  <c r="R29" i="3"/>
  <c r="S29" i="3"/>
  <c r="R30" i="3"/>
  <c r="S30" i="3"/>
  <c r="R31" i="3"/>
  <c r="S31" i="3"/>
  <c r="R32" i="3"/>
  <c r="S32" i="3"/>
  <c r="R33" i="3"/>
  <c r="S33" i="3"/>
  <c r="R34" i="3"/>
  <c r="S34" i="3"/>
  <c r="R35" i="3"/>
  <c r="S35" i="3"/>
  <c r="R36" i="3"/>
  <c r="S36" i="3"/>
  <c r="R37" i="3"/>
  <c r="S37" i="3"/>
  <c r="R38" i="3"/>
  <c r="S38" i="3"/>
  <c r="R39" i="3"/>
  <c r="S39" i="3"/>
  <c r="R40" i="3"/>
  <c r="S40" i="3"/>
  <c r="R41" i="3"/>
  <c r="S41" i="3"/>
  <c r="R42" i="3"/>
  <c r="S42" i="3"/>
  <c r="R43" i="3"/>
  <c r="S43" i="3"/>
  <c r="R44" i="3"/>
  <c r="S44" i="3"/>
  <c r="R45" i="3"/>
  <c r="S45" i="3"/>
  <c r="R46" i="3"/>
  <c r="S46" i="3"/>
  <c r="R47" i="3"/>
  <c r="S47" i="3"/>
  <c r="R48" i="3"/>
  <c r="S48" i="3"/>
  <c r="R49" i="3"/>
  <c r="S49" i="3"/>
  <c r="R50" i="3"/>
  <c r="S50" i="3"/>
  <c r="R51" i="3"/>
  <c r="S51" i="3"/>
  <c r="R52" i="3"/>
  <c r="S52" i="3"/>
  <c r="R53" i="3"/>
  <c r="S53" i="3"/>
  <c r="R54" i="3"/>
  <c r="S54" i="3"/>
  <c r="R55" i="3"/>
  <c r="S55" i="3"/>
  <c r="R56" i="3"/>
  <c r="S56" i="3"/>
  <c r="R57" i="3"/>
  <c r="S57" i="3"/>
  <c r="R58" i="3"/>
  <c r="S58" i="3"/>
  <c r="R59" i="3"/>
  <c r="S59" i="3"/>
  <c r="R60" i="3"/>
  <c r="S60" i="3"/>
  <c r="R61" i="3"/>
  <c r="S61" i="3"/>
  <c r="R62" i="3"/>
  <c r="S62" i="3"/>
  <c r="R63" i="3"/>
  <c r="S63" i="3"/>
  <c r="R64" i="3"/>
  <c r="S64" i="3"/>
  <c r="R65" i="3"/>
  <c r="S65" i="3"/>
  <c r="R66" i="3"/>
  <c r="S66" i="3"/>
  <c r="R67" i="3"/>
  <c r="S67" i="3"/>
  <c r="R68" i="3"/>
  <c r="S68" i="3"/>
  <c r="R69" i="3"/>
  <c r="S69" i="3"/>
  <c r="R70" i="3"/>
  <c r="S70" i="3"/>
  <c r="R71" i="3"/>
  <c r="S71" i="3"/>
  <c r="R72" i="3"/>
  <c r="S72" i="3"/>
  <c r="R73" i="3"/>
  <c r="S73" i="3"/>
  <c r="R74" i="3"/>
  <c r="S74" i="3"/>
  <c r="R75" i="3"/>
  <c r="S75" i="3"/>
  <c r="R76" i="3"/>
  <c r="S76" i="3"/>
  <c r="R77" i="3"/>
  <c r="S77" i="3"/>
  <c r="R78" i="3"/>
  <c r="S78" i="3"/>
  <c r="R79" i="3"/>
  <c r="S79" i="3"/>
  <c r="R80" i="3"/>
  <c r="S80" i="3"/>
  <c r="R81" i="3"/>
  <c r="S81" i="3"/>
  <c r="R82" i="3"/>
  <c r="S82" i="3"/>
  <c r="R83" i="3"/>
  <c r="S83" i="3"/>
  <c r="R84" i="3"/>
  <c r="S84" i="3"/>
  <c r="R85" i="3"/>
  <c r="S85" i="3"/>
  <c r="R86" i="3"/>
  <c r="S86" i="3"/>
  <c r="R87" i="3"/>
  <c r="S87" i="3"/>
  <c r="R88" i="3"/>
  <c r="S88" i="3"/>
  <c r="R89" i="3"/>
  <c r="S89" i="3"/>
  <c r="R90" i="3"/>
  <c r="S90" i="3"/>
  <c r="R91" i="3"/>
  <c r="S91" i="3"/>
  <c r="R92" i="3"/>
  <c r="S92" i="3"/>
  <c r="R93" i="3"/>
  <c r="S93" i="3"/>
  <c r="R94" i="3"/>
  <c r="S94" i="3"/>
  <c r="R95" i="3"/>
  <c r="S95" i="3"/>
  <c r="R96" i="3"/>
  <c r="S96" i="3"/>
  <c r="R97" i="3"/>
  <c r="S97" i="3"/>
  <c r="R98" i="3"/>
  <c r="S98" i="3"/>
  <c r="R99" i="3"/>
  <c r="S99" i="3"/>
  <c r="R100" i="3"/>
  <c r="S100" i="3"/>
  <c r="R101" i="3"/>
  <c r="S101" i="3"/>
  <c r="R102" i="3"/>
  <c r="S102" i="3"/>
  <c r="R103" i="3"/>
  <c r="S103" i="3"/>
  <c r="R104" i="3"/>
  <c r="S104" i="3"/>
  <c r="R105" i="3"/>
  <c r="S105" i="3"/>
  <c r="R106" i="3"/>
  <c r="S106" i="3"/>
  <c r="R107" i="3"/>
  <c r="S107" i="3"/>
  <c r="R108" i="3"/>
  <c r="S108" i="3"/>
  <c r="R109" i="3"/>
  <c r="S109" i="3"/>
  <c r="R110" i="3"/>
  <c r="S110" i="3"/>
  <c r="R111" i="3"/>
  <c r="S111" i="3"/>
  <c r="R112" i="3"/>
  <c r="S112" i="3"/>
  <c r="R113" i="3"/>
  <c r="S113" i="3"/>
  <c r="R114" i="3"/>
  <c r="S114" i="3"/>
  <c r="R115" i="3"/>
  <c r="S115" i="3"/>
  <c r="R116" i="3"/>
  <c r="S116" i="3"/>
  <c r="R117" i="3"/>
  <c r="S117" i="3"/>
  <c r="R118" i="3"/>
  <c r="S118" i="3"/>
  <c r="R119" i="3"/>
  <c r="S119" i="3"/>
  <c r="R120" i="3"/>
  <c r="S120" i="3"/>
  <c r="R121" i="3"/>
  <c r="S121" i="3"/>
  <c r="R122" i="3"/>
  <c r="S122" i="3"/>
  <c r="R123" i="3"/>
  <c r="S123" i="3"/>
  <c r="R124" i="3"/>
  <c r="S124" i="3"/>
  <c r="R125" i="3"/>
  <c r="S125" i="3"/>
  <c r="R126" i="3"/>
  <c r="S126" i="3"/>
  <c r="R127" i="3"/>
  <c r="S127" i="3"/>
  <c r="R128" i="3"/>
  <c r="S128" i="3"/>
  <c r="R129" i="3"/>
  <c r="S129" i="3"/>
  <c r="R130" i="3"/>
  <c r="S130" i="3"/>
  <c r="R131" i="3"/>
  <c r="S131" i="3"/>
  <c r="R132" i="3"/>
  <c r="S132" i="3"/>
  <c r="R133" i="3"/>
  <c r="S133" i="3"/>
  <c r="R134" i="3"/>
  <c r="S134" i="3"/>
  <c r="R135" i="3"/>
  <c r="S135" i="3"/>
  <c r="R136" i="3"/>
  <c r="S136" i="3"/>
  <c r="R137" i="3"/>
  <c r="S137" i="3"/>
  <c r="R138" i="3"/>
  <c r="S138" i="3"/>
  <c r="R139" i="3"/>
  <c r="S139" i="3"/>
  <c r="R140" i="3"/>
  <c r="S140" i="3"/>
  <c r="R141" i="3"/>
  <c r="S141" i="3"/>
  <c r="R142" i="3"/>
  <c r="S142" i="3"/>
  <c r="R143" i="3"/>
  <c r="S143" i="3"/>
  <c r="R144" i="3"/>
  <c r="S144" i="3"/>
  <c r="R145" i="3"/>
  <c r="S145" i="3"/>
  <c r="R146" i="3"/>
  <c r="S146" i="3"/>
  <c r="R147" i="3"/>
  <c r="S147" i="3"/>
  <c r="R148" i="3"/>
  <c r="S148" i="3"/>
  <c r="R149" i="3"/>
  <c r="S149" i="3"/>
  <c r="R150" i="3"/>
  <c r="S150" i="3"/>
  <c r="R151" i="3"/>
  <c r="S151" i="3"/>
  <c r="R152" i="3"/>
  <c r="S152" i="3"/>
  <c r="R153" i="3"/>
  <c r="S153" i="3"/>
  <c r="R154" i="3"/>
  <c r="S154" i="3"/>
  <c r="R155" i="3"/>
  <c r="S155" i="3"/>
  <c r="R156" i="3"/>
  <c r="S156" i="3"/>
  <c r="R157" i="3"/>
  <c r="S157" i="3"/>
  <c r="R158" i="3"/>
  <c r="S158" i="3"/>
  <c r="R159" i="3"/>
  <c r="S159" i="3"/>
  <c r="R160" i="3"/>
  <c r="S160" i="3"/>
  <c r="R161" i="3"/>
  <c r="S161" i="3"/>
  <c r="R162" i="3"/>
  <c r="S162" i="3"/>
  <c r="R163" i="3"/>
  <c r="S163" i="3"/>
  <c r="R164" i="3"/>
  <c r="S164" i="3"/>
  <c r="R165" i="3"/>
  <c r="S165" i="3"/>
  <c r="R166" i="3"/>
  <c r="S166" i="3"/>
  <c r="R167" i="3"/>
  <c r="S167" i="3"/>
  <c r="R168" i="3"/>
  <c r="S168" i="3"/>
  <c r="R169" i="3"/>
  <c r="S169" i="3"/>
  <c r="R170" i="3"/>
  <c r="S170" i="3"/>
  <c r="R171" i="3"/>
  <c r="S171" i="3"/>
  <c r="R172" i="3"/>
  <c r="S172" i="3"/>
  <c r="R173" i="3"/>
  <c r="S173" i="3"/>
  <c r="R174" i="3"/>
  <c r="S174" i="3"/>
  <c r="R175" i="3"/>
  <c r="S175" i="3"/>
  <c r="R176" i="3"/>
  <c r="S176" i="3"/>
  <c r="R177" i="3"/>
  <c r="S177" i="3"/>
  <c r="R178" i="3"/>
  <c r="S178" i="3"/>
  <c r="R179" i="3"/>
  <c r="S179" i="3"/>
  <c r="R180" i="3"/>
  <c r="S180" i="3"/>
  <c r="R181" i="3"/>
  <c r="S181" i="3"/>
  <c r="R182" i="3"/>
  <c r="S182" i="3"/>
  <c r="R183" i="3"/>
  <c r="S183" i="3"/>
  <c r="R184" i="3"/>
  <c r="S184" i="3"/>
  <c r="R185" i="3"/>
  <c r="S185" i="3"/>
  <c r="R186" i="3"/>
  <c r="S186" i="3"/>
  <c r="R187" i="3"/>
  <c r="S187" i="3"/>
  <c r="R188" i="3"/>
  <c r="S188" i="3"/>
  <c r="R189" i="3"/>
  <c r="S189" i="3"/>
  <c r="R190" i="3"/>
  <c r="S190" i="3"/>
  <c r="R191" i="3"/>
  <c r="S191" i="3"/>
  <c r="R192" i="3"/>
  <c r="S192" i="3"/>
  <c r="R193" i="3"/>
  <c r="S193" i="3"/>
  <c r="R194" i="3"/>
  <c r="S194" i="3"/>
  <c r="R195" i="3"/>
  <c r="S195" i="3"/>
  <c r="R196" i="3"/>
  <c r="S196" i="3"/>
  <c r="R197" i="3"/>
  <c r="S197" i="3"/>
  <c r="R198" i="3"/>
  <c r="S198" i="3"/>
  <c r="R199" i="3"/>
  <c r="S199" i="3"/>
  <c r="R200" i="3"/>
  <c r="S200" i="3"/>
  <c r="R201" i="3"/>
  <c r="S201" i="3"/>
  <c r="R202" i="3"/>
  <c r="S202" i="3"/>
  <c r="R203" i="3"/>
  <c r="S203" i="3"/>
  <c r="R204" i="3"/>
  <c r="S204" i="3"/>
  <c r="R205" i="3"/>
  <c r="S205" i="3"/>
  <c r="R206" i="3"/>
  <c r="S206" i="3"/>
  <c r="R207" i="3"/>
  <c r="S207" i="3"/>
  <c r="R208" i="3"/>
  <c r="S208" i="3"/>
  <c r="R209" i="3"/>
  <c r="S209" i="3"/>
  <c r="R210" i="3"/>
  <c r="S210" i="3"/>
  <c r="R211" i="3"/>
  <c r="S211" i="3"/>
  <c r="R212" i="3"/>
  <c r="S212" i="3"/>
  <c r="R213" i="3"/>
  <c r="S213" i="3"/>
  <c r="R214" i="3"/>
  <c r="S214" i="3"/>
  <c r="R215" i="3"/>
  <c r="S215" i="3"/>
  <c r="R216" i="3"/>
  <c r="S216" i="3"/>
  <c r="R217" i="3"/>
  <c r="S217" i="3"/>
  <c r="R218" i="3"/>
  <c r="S218" i="3"/>
  <c r="R219" i="3"/>
  <c r="S219" i="3"/>
  <c r="R220" i="3"/>
  <c r="S220" i="3"/>
  <c r="R221" i="3"/>
  <c r="S221" i="3"/>
  <c r="R222" i="3"/>
  <c r="S222" i="3"/>
  <c r="R223" i="3"/>
  <c r="S223" i="3"/>
  <c r="R224" i="3"/>
  <c r="S224" i="3"/>
  <c r="R225" i="3"/>
  <c r="S225" i="3"/>
  <c r="R226" i="3"/>
  <c r="S226" i="3"/>
  <c r="R227" i="3"/>
  <c r="S227" i="3"/>
  <c r="R228" i="3"/>
  <c r="S228" i="3"/>
  <c r="R229" i="3"/>
  <c r="S229" i="3"/>
  <c r="R230" i="3"/>
  <c r="S230" i="3"/>
  <c r="R231" i="3"/>
  <c r="S231" i="3"/>
  <c r="R232" i="3"/>
  <c r="S232" i="3"/>
  <c r="R233" i="3"/>
  <c r="S233" i="3"/>
  <c r="R234" i="3"/>
  <c r="S234" i="3"/>
  <c r="R235" i="3"/>
  <c r="S235" i="3"/>
  <c r="R236" i="3"/>
  <c r="S236" i="3"/>
  <c r="R237" i="3"/>
  <c r="S237" i="3"/>
  <c r="R238" i="3"/>
  <c r="S238" i="3"/>
  <c r="R239" i="3"/>
  <c r="S239" i="3"/>
  <c r="R240" i="3"/>
  <c r="S240" i="3"/>
  <c r="R241" i="3"/>
  <c r="S241" i="3"/>
  <c r="R242" i="3"/>
  <c r="S242" i="3"/>
  <c r="R243" i="3"/>
  <c r="S243" i="3"/>
  <c r="R244" i="3"/>
  <c r="S244" i="3"/>
  <c r="R245" i="3"/>
  <c r="S245" i="3"/>
  <c r="R246" i="3"/>
  <c r="S246" i="3"/>
  <c r="R247" i="3"/>
  <c r="S247" i="3"/>
  <c r="R248" i="3"/>
  <c r="S248" i="3"/>
  <c r="R249" i="3"/>
  <c r="S249" i="3"/>
  <c r="R250" i="3"/>
  <c r="S250" i="3"/>
  <c r="R251" i="3"/>
  <c r="S251" i="3"/>
  <c r="R252" i="3"/>
  <c r="S252" i="3"/>
  <c r="R253" i="3"/>
  <c r="S253" i="3"/>
  <c r="R254" i="3"/>
  <c r="S254" i="3"/>
  <c r="R255" i="3"/>
  <c r="S255" i="3"/>
  <c r="R256" i="3"/>
  <c r="S256" i="3"/>
  <c r="R257" i="3"/>
  <c r="S257" i="3"/>
  <c r="R258" i="3"/>
  <c r="S258" i="3"/>
  <c r="R259" i="3"/>
  <c r="S259" i="3"/>
  <c r="R260" i="3"/>
  <c r="S260" i="3"/>
  <c r="R261" i="3"/>
  <c r="S261" i="3"/>
  <c r="R265" i="3"/>
  <c r="S265" i="3"/>
  <c r="R266" i="3"/>
  <c r="S266" i="3"/>
  <c r="R267" i="3"/>
  <c r="S267" i="3"/>
  <c r="R268" i="3"/>
  <c r="S268" i="3"/>
  <c r="R269" i="3"/>
  <c r="S269" i="3"/>
  <c r="R270" i="3"/>
  <c r="S270" i="3"/>
  <c r="R271" i="3"/>
  <c r="S271" i="3"/>
  <c r="R272" i="3"/>
  <c r="S272" i="3"/>
  <c r="R273" i="3"/>
  <c r="S273" i="3"/>
  <c r="R274" i="3"/>
  <c r="S274" i="3"/>
  <c r="R275" i="3"/>
  <c r="S275" i="3"/>
  <c r="R276" i="3"/>
  <c r="S276" i="3"/>
  <c r="R277" i="3"/>
  <c r="S277" i="3"/>
  <c r="R278" i="3"/>
  <c r="S278" i="3"/>
  <c r="R279" i="3"/>
  <c r="S279" i="3"/>
  <c r="R280" i="3"/>
  <c r="S280" i="3"/>
  <c r="R281" i="3"/>
  <c r="S281" i="3"/>
  <c r="R282" i="3"/>
  <c r="S282" i="3"/>
  <c r="R283" i="3"/>
  <c r="S283" i="3"/>
  <c r="R284" i="3"/>
  <c r="S284" i="3"/>
  <c r="R285" i="3"/>
  <c r="S285" i="3"/>
  <c r="R286" i="3"/>
  <c r="S286" i="3"/>
  <c r="R287" i="3"/>
  <c r="S287" i="3"/>
  <c r="R288" i="3"/>
  <c r="S288" i="3"/>
  <c r="R289" i="3"/>
  <c r="S289" i="3"/>
  <c r="R290" i="3"/>
  <c r="S290" i="3"/>
  <c r="R291" i="3"/>
  <c r="S291" i="3"/>
  <c r="R292" i="3"/>
  <c r="S292" i="3"/>
  <c r="R293" i="3"/>
  <c r="S293" i="3"/>
  <c r="R294" i="3"/>
  <c r="S294" i="3"/>
  <c r="R295" i="3"/>
  <c r="S295" i="3"/>
  <c r="R296" i="3"/>
  <c r="S296" i="3"/>
  <c r="R297" i="3"/>
  <c r="S297" i="3"/>
  <c r="R298" i="3"/>
  <c r="S298" i="3"/>
  <c r="S2" i="3"/>
  <c r="R2" i="3"/>
  <c r="H286" i="1"/>
  <c r="B287" i="1" a="1"/>
  <c r="B287" i="1" s="1"/>
  <c r="C289" i="1"/>
  <c r="B290" i="1" a="1"/>
  <c r="B290" i="1" s="1"/>
  <c r="B291" i="1" a="1"/>
  <c r="B291" i="1" s="1"/>
  <c r="H292" i="1"/>
  <c r="F293" i="1"/>
  <c r="B294" i="1" a="1"/>
  <c r="B294" i="1" s="1"/>
  <c r="H295" i="1"/>
  <c r="E296" i="1"/>
  <c r="C271" i="1"/>
  <c r="G272" i="1"/>
  <c r="H275" i="1"/>
  <c r="H276" i="1"/>
  <c r="E281" i="1"/>
  <c r="B282" i="1" a="1"/>
  <c r="B282" i="1" s="1"/>
  <c r="B283" i="1" a="1"/>
  <c r="B283" i="1" s="1"/>
  <c r="F285" i="1"/>
  <c r="F258" i="1"/>
  <c r="B259" i="1" a="1"/>
  <c r="B259" i="1" s="1"/>
  <c r="H260" i="1"/>
  <c r="H262" i="1"/>
  <c r="H263" i="1"/>
  <c r="B264" i="1" a="1"/>
  <c r="B264" i="1" s="1"/>
  <c r="F265" i="1"/>
  <c r="C269" i="1"/>
  <c r="G270" i="1"/>
  <c r="E245" i="1"/>
  <c r="H246" i="1"/>
  <c r="H247" i="1"/>
  <c r="E249" i="1"/>
  <c r="C250" i="1"/>
  <c r="H257" i="1"/>
  <c r="F6" i="1"/>
  <c r="H7" i="1"/>
  <c r="B8" i="1" a="1"/>
  <c r="B8" i="1" s="1"/>
  <c r="F9" i="1"/>
  <c r="C10" i="1"/>
  <c r="H13" i="1"/>
  <c r="C14" i="1"/>
  <c r="G19" i="1"/>
  <c r="H20" i="1"/>
  <c r="B21" i="1" a="1"/>
  <c r="B21" i="1" s="1"/>
  <c r="H22" i="1"/>
  <c r="F23" i="1"/>
  <c r="G24" i="1"/>
  <c r="F25" i="1"/>
  <c r="G26" i="1"/>
  <c r="F27" i="1"/>
  <c r="C28" i="1"/>
  <c r="C29" i="1"/>
  <c r="H30" i="1"/>
  <c r="C31" i="1"/>
  <c r="C32" i="1"/>
  <c r="G33" i="1"/>
  <c r="G34" i="1"/>
  <c r="H35" i="1"/>
  <c r="H41" i="1"/>
  <c r="C42" i="1"/>
  <c r="B43" i="1" a="1"/>
  <c r="B43" i="1" s="1"/>
  <c r="G44" i="1"/>
  <c r="E53" i="1"/>
  <c r="H54" i="1"/>
  <c r="F55" i="1"/>
  <c r="G56" i="1"/>
  <c r="G57" i="1"/>
  <c r="G65" i="1"/>
  <c r="F66" i="1"/>
  <c r="B67" i="1" a="1"/>
  <c r="B67" i="1" s="1"/>
  <c r="H68" i="1"/>
  <c r="H69" i="1"/>
  <c r="H77" i="1"/>
  <c r="B78" i="1" a="1"/>
  <c r="B78" i="1" s="1"/>
  <c r="B81" i="1" a="1"/>
  <c r="B81" i="1" s="1"/>
  <c r="C82" i="1"/>
  <c r="C83" i="1"/>
  <c r="B84" i="1" a="1"/>
  <c r="B84" i="1" s="1"/>
  <c r="C89" i="1"/>
  <c r="H90" i="1"/>
  <c r="H91" i="1"/>
  <c r="C92" i="1"/>
  <c r="B93" i="1" a="1"/>
  <c r="B93" i="1" s="1"/>
  <c r="H94" i="1"/>
  <c r="G97" i="1"/>
  <c r="H98" i="1"/>
  <c r="H101" i="1"/>
  <c r="B102" i="1" a="1"/>
  <c r="B102" i="1" s="1"/>
  <c r="H103" i="1"/>
  <c r="C104" i="1"/>
  <c r="H105" i="1"/>
  <c r="B106" i="1" a="1"/>
  <c r="B106" i="1" s="1"/>
  <c r="G108" i="1"/>
  <c r="C109" i="1"/>
  <c r="H110" i="1"/>
  <c r="H111" i="1"/>
  <c r="H113" i="1"/>
  <c r="G114" i="1"/>
  <c r="H116" i="1"/>
  <c r="C117" i="1"/>
  <c r="B118" i="1" a="1"/>
  <c r="B118" i="1" s="1"/>
  <c r="H119" i="1"/>
  <c r="B120" i="1" a="1"/>
  <c r="B120" i="1" s="1"/>
  <c r="C125" i="1"/>
  <c r="C127" i="1"/>
  <c r="C129" i="1"/>
  <c r="H137" i="1"/>
  <c r="B138" i="1" a="1"/>
  <c r="B138" i="1" s="1"/>
  <c r="B139" i="1" a="1"/>
  <c r="B139" i="1" s="1"/>
  <c r="C141" i="1"/>
  <c r="G150" i="1"/>
  <c r="C151" i="1"/>
  <c r="H152" i="1"/>
  <c r="C153" i="1"/>
  <c r="H161" i="1"/>
  <c r="C162" i="1"/>
  <c r="G163" i="1"/>
  <c r="C164" i="1"/>
  <c r="H165" i="1"/>
  <c r="C169" i="1"/>
  <c r="G170" i="1"/>
  <c r="C171" i="1"/>
  <c r="H173" i="1"/>
  <c r="C174" i="1"/>
  <c r="B175" i="1" a="1"/>
  <c r="B175" i="1" s="1"/>
  <c r="B177" i="1" a="1"/>
  <c r="B177" i="1" s="1"/>
  <c r="H185" i="1"/>
  <c r="B186" i="1" a="1"/>
  <c r="B186" i="1" s="1"/>
  <c r="H187" i="1"/>
  <c r="B188" i="1" a="1"/>
  <c r="B188" i="1" s="1"/>
  <c r="C189" i="1"/>
  <c r="H197" i="1"/>
  <c r="H198" i="1"/>
  <c r="F199" i="1"/>
  <c r="C200" i="1"/>
  <c r="H201" i="1"/>
  <c r="H202" i="1"/>
  <c r="H203" i="1"/>
  <c r="C210" i="1"/>
  <c r="H221" i="1"/>
  <c r="H222" i="1"/>
  <c r="G224" i="1"/>
  <c r="H233" i="1"/>
  <c r="H234" i="1"/>
  <c r="C235" i="1"/>
  <c r="C236" i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2" i="3"/>
  <c r="O293" i="3"/>
  <c r="O294" i="3"/>
  <c r="O295" i="3"/>
  <c r="O296" i="3"/>
  <c r="O297" i="3"/>
  <c r="O298" i="3"/>
  <c r="O2" i="3"/>
  <c r="H66" i="1"/>
  <c r="H162" i="1" l="1"/>
  <c r="B162" i="1" a="1"/>
  <c r="B162" i="1" s="1"/>
  <c r="G162" i="1"/>
  <c r="D276" i="1"/>
  <c r="D246" i="1"/>
  <c r="G181" i="1"/>
  <c r="F41" i="1"/>
  <c r="B42" i="1" a="1"/>
  <c r="B42" i="1" s="1"/>
  <c r="G182" i="1"/>
  <c r="E42" i="1"/>
  <c r="B222" i="1" a="1"/>
  <c r="B222" i="1" s="1"/>
  <c r="B22" i="1" a="1"/>
  <c r="B22" i="1" s="1"/>
  <c r="B164" i="1" a="1"/>
  <c r="B164" i="1" s="1"/>
  <c r="G222" i="1"/>
  <c r="G42" i="1"/>
  <c r="C122" i="1"/>
  <c r="H42" i="1"/>
  <c r="C20" i="1"/>
  <c r="B62" i="1" a="1"/>
  <c r="B62" i="1" s="1"/>
  <c r="F20" i="1"/>
  <c r="C22" i="1"/>
  <c r="G102" i="1"/>
  <c r="G82" i="1"/>
  <c r="H82" i="1"/>
  <c r="H102" i="1"/>
  <c r="H163" i="1"/>
  <c r="G22" i="1"/>
  <c r="F42" i="1"/>
  <c r="D22" i="1"/>
  <c r="G122" i="1"/>
  <c r="B123" i="1" a="1"/>
  <c r="B123" i="1" s="1"/>
  <c r="D254" i="1"/>
  <c r="B174" i="1" a="1"/>
  <c r="B174" i="1" s="1"/>
  <c r="G174" i="1"/>
  <c r="H174" i="1"/>
  <c r="E54" i="1"/>
  <c r="B66" i="1" a="1"/>
  <c r="B66" i="1" s="1"/>
  <c r="G54" i="1"/>
  <c r="C84" i="1"/>
  <c r="G195" i="1"/>
  <c r="E75" i="1"/>
  <c r="D136" i="1"/>
  <c r="G14" i="1"/>
  <c r="B15" i="1" a="1"/>
  <c r="B15" i="1" s="1"/>
  <c r="G217" i="1"/>
  <c r="G74" i="1"/>
  <c r="B195" i="1" a="1"/>
  <c r="B195" i="1" s="1"/>
  <c r="H195" i="1"/>
  <c r="B134" i="1" a="1"/>
  <c r="B134" i="1" s="1"/>
  <c r="G151" i="1"/>
  <c r="C94" i="1"/>
  <c r="C138" i="1"/>
  <c r="F154" i="1"/>
  <c r="C198" i="1"/>
  <c r="C43" i="1"/>
  <c r="H123" i="1"/>
  <c r="B182" i="1" a="1"/>
  <c r="B182" i="1" s="1"/>
  <c r="C222" i="1"/>
  <c r="H53" i="1"/>
  <c r="B124" i="1" a="1"/>
  <c r="B124" i="1" s="1"/>
  <c r="C259" i="1"/>
  <c r="C172" i="1"/>
  <c r="G259" i="1"/>
  <c r="H124" i="1"/>
  <c r="H259" i="1"/>
  <c r="F73" i="1"/>
  <c r="B153" i="1" a="1"/>
  <c r="B153" i="1" s="1"/>
  <c r="G73" i="1"/>
  <c r="H73" i="1"/>
  <c r="C93" i="1"/>
  <c r="G62" i="1"/>
  <c r="B142" i="1" a="1"/>
  <c r="B142" i="1" s="1"/>
  <c r="C202" i="1"/>
  <c r="F22" i="1"/>
  <c r="G142" i="1"/>
  <c r="G216" i="1"/>
  <c r="F62" i="1"/>
  <c r="C268" i="1"/>
  <c r="G123" i="1"/>
  <c r="B151" i="1" a="1"/>
  <c r="B151" i="1" s="1"/>
  <c r="H216" i="1"/>
  <c r="D202" i="1"/>
  <c r="E268" i="1"/>
  <c r="F14" i="1"/>
  <c r="F44" i="1"/>
  <c r="B83" i="1" a="1"/>
  <c r="B83" i="1" s="1"/>
  <c r="G136" i="1"/>
  <c r="C102" i="1"/>
  <c r="B44" i="1" a="1"/>
  <c r="B44" i="1" s="1"/>
  <c r="H44" i="1"/>
  <c r="G83" i="1"/>
  <c r="C105" i="1"/>
  <c r="H145" i="1"/>
  <c r="F63" i="1"/>
  <c r="H125" i="1"/>
  <c r="H83" i="1"/>
  <c r="F24" i="1"/>
  <c r="B147" i="1" a="1"/>
  <c r="B147" i="1" s="1"/>
  <c r="D104" i="1"/>
  <c r="D24" i="1"/>
  <c r="B145" i="1" a="1"/>
  <c r="B145" i="1" s="1"/>
  <c r="C108" i="1"/>
  <c r="D64" i="1"/>
  <c r="B24" i="1" a="1"/>
  <c r="B24" i="1" s="1"/>
  <c r="B202" i="1" a="1"/>
  <c r="B202" i="1" s="1"/>
  <c r="F64" i="1"/>
  <c r="B260" i="1" a="1"/>
  <c r="B260" i="1" s="1"/>
  <c r="C9" i="1"/>
  <c r="B20" i="1" a="1"/>
  <c r="B20" i="1" s="1"/>
  <c r="H24" i="1"/>
  <c r="B103" i="1" a="1"/>
  <c r="B103" i="1" s="1"/>
  <c r="G202" i="1"/>
  <c r="C44" i="1"/>
  <c r="C24" i="1"/>
  <c r="C106" i="1"/>
  <c r="H60" i="1"/>
  <c r="G29" i="1"/>
  <c r="H62" i="1"/>
  <c r="G118" i="1"/>
  <c r="B276" i="1" a="1"/>
  <c r="B276" i="1" s="1"/>
  <c r="B33" i="1" a="1"/>
  <c r="B33" i="1" s="1"/>
  <c r="C64" i="1"/>
  <c r="H118" i="1"/>
  <c r="G153" i="1"/>
  <c r="C163" i="1"/>
  <c r="F33" i="1"/>
  <c r="B122" i="1" a="1"/>
  <c r="B122" i="1" s="1"/>
  <c r="H153" i="1"/>
  <c r="H208" i="1"/>
  <c r="C276" i="1"/>
  <c r="D8" i="1"/>
  <c r="H50" i="1"/>
  <c r="C67" i="1"/>
  <c r="B86" i="1" a="1"/>
  <c r="B86" i="1" s="1"/>
  <c r="H29" i="1"/>
  <c r="G30" i="1"/>
  <c r="G49" i="1"/>
  <c r="G147" i="1"/>
  <c r="B9" i="1" a="1"/>
  <c r="B9" i="1" s="1"/>
  <c r="F67" i="1"/>
  <c r="B187" i="1" a="1"/>
  <c r="B187" i="1" s="1"/>
  <c r="G275" i="1"/>
  <c r="B14" i="1" a="1"/>
  <c r="B14" i="1" s="1"/>
  <c r="E41" i="1"/>
  <c r="B54" i="1" a="1"/>
  <c r="B54" i="1" s="1"/>
  <c r="G68" i="1"/>
  <c r="G187" i="1"/>
  <c r="C148" i="1"/>
  <c r="H14" i="1"/>
  <c r="B60" i="1" a="1"/>
  <c r="B60" i="1" s="1"/>
  <c r="G103" i="1"/>
  <c r="G129" i="1"/>
  <c r="H194" i="1"/>
  <c r="C81" i="1"/>
  <c r="C160" i="1"/>
  <c r="D267" i="1"/>
  <c r="E276" i="1"/>
  <c r="B30" i="1" a="1"/>
  <c r="B30" i="1" s="1"/>
  <c r="C69" i="1"/>
  <c r="G127" i="1"/>
  <c r="H129" i="1"/>
  <c r="D46" i="1"/>
  <c r="D158" i="1"/>
  <c r="F276" i="1"/>
  <c r="G7" i="1"/>
  <c r="D205" i="1"/>
  <c r="D105" i="1"/>
  <c r="C238" i="1"/>
  <c r="F278" i="1"/>
  <c r="F61" i="1"/>
  <c r="D225" i="1"/>
  <c r="G20" i="1"/>
  <c r="G109" i="1"/>
  <c r="G134" i="1"/>
  <c r="B163" i="1" a="1"/>
  <c r="B163" i="1" s="1"/>
  <c r="D36" i="1"/>
  <c r="E238" i="1"/>
  <c r="B74" i="1" a="1"/>
  <c r="B74" i="1" s="1"/>
  <c r="C90" i="1"/>
  <c r="F74" i="1"/>
  <c r="H109" i="1"/>
  <c r="C74" i="1"/>
  <c r="D163" i="1"/>
  <c r="D103" i="1"/>
  <c r="D261" i="1"/>
  <c r="F238" i="1"/>
  <c r="G283" i="1"/>
  <c r="D109" i="1"/>
  <c r="H229" i="1"/>
  <c r="F29" i="1"/>
  <c r="H49" i="1"/>
  <c r="B69" i="1" a="1"/>
  <c r="B69" i="1" s="1"/>
  <c r="B229" i="1" a="1"/>
  <c r="B229" i="1" s="1"/>
  <c r="D208" i="1"/>
  <c r="D148" i="1"/>
  <c r="D134" i="1"/>
  <c r="G289" i="1"/>
  <c r="F43" i="1"/>
  <c r="G81" i="1"/>
  <c r="G110" i="1"/>
  <c r="G140" i="1"/>
  <c r="B241" i="1" a="1"/>
  <c r="B241" i="1" s="1"/>
  <c r="H289" i="1"/>
  <c r="G41" i="1"/>
  <c r="B110" i="1" a="1"/>
  <c r="B110" i="1" s="1"/>
  <c r="G43" i="1"/>
  <c r="B63" i="1" a="1"/>
  <c r="B63" i="1" s="1"/>
  <c r="H81" i="1"/>
  <c r="C103" i="1"/>
  <c r="D200" i="1"/>
  <c r="D120" i="1"/>
  <c r="H299" i="1"/>
  <c r="H43" i="1"/>
  <c r="H170" i="1"/>
  <c r="C214" i="1"/>
  <c r="G257" i="1"/>
  <c r="B300" i="1" a="1"/>
  <c r="B300" i="1" s="1"/>
  <c r="B245" i="1" a="1"/>
  <c r="B245" i="1" s="1"/>
  <c r="H34" i="1"/>
  <c r="G55" i="1"/>
  <c r="B76" i="1" a="1"/>
  <c r="B76" i="1" s="1"/>
  <c r="G93" i="1"/>
  <c r="G139" i="1"/>
  <c r="H154" i="1"/>
  <c r="C232" i="1"/>
  <c r="D259" i="1"/>
  <c r="D219" i="1"/>
  <c r="D159" i="1"/>
  <c r="D139" i="1"/>
  <c r="D99" i="1"/>
  <c r="C245" i="1"/>
  <c r="B35" i="1" a="1"/>
  <c r="B35" i="1" s="1"/>
  <c r="F56" i="1"/>
  <c r="C76" i="1"/>
  <c r="H93" i="1"/>
  <c r="H158" i="1"/>
  <c r="C234" i="1"/>
  <c r="F31" i="1"/>
  <c r="F245" i="1"/>
  <c r="C35" i="1"/>
  <c r="E76" i="1"/>
  <c r="B94" i="1" a="1"/>
  <c r="B94" i="1" s="1"/>
  <c r="B111" i="1" a="1"/>
  <c r="B111" i="1" s="1"/>
  <c r="B159" i="1" a="1"/>
  <c r="B159" i="1" s="1"/>
  <c r="G186" i="1"/>
  <c r="C33" i="1"/>
  <c r="B246" i="1" a="1"/>
  <c r="B246" i="1" s="1"/>
  <c r="F35" i="1"/>
  <c r="G59" i="1"/>
  <c r="F76" i="1"/>
  <c r="G94" i="1"/>
  <c r="G111" i="1"/>
  <c r="G159" i="1"/>
  <c r="H186" i="1"/>
  <c r="C229" i="1"/>
  <c r="C114" i="1"/>
  <c r="C34" i="1"/>
  <c r="C246" i="1"/>
  <c r="H291" i="1"/>
  <c r="G35" i="1"/>
  <c r="G76" i="1"/>
  <c r="G113" i="1"/>
  <c r="B129" i="1" a="1"/>
  <c r="B129" i="1" s="1"/>
  <c r="H159" i="1"/>
  <c r="C118" i="1"/>
  <c r="F34" i="1"/>
  <c r="D115" i="1"/>
  <c r="E246" i="1"/>
  <c r="D268" i="1"/>
  <c r="B293" i="1" a="1"/>
  <c r="B293" i="1" s="1"/>
  <c r="E270" i="1"/>
  <c r="E294" i="1"/>
  <c r="B13" i="1" a="1"/>
  <c r="B13" i="1" s="1"/>
  <c r="C26" i="1"/>
  <c r="B38" i="1" a="1"/>
  <c r="B38" i="1" s="1"/>
  <c r="G45" i="1"/>
  <c r="G69" i="1"/>
  <c r="H99" i="1"/>
  <c r="H114" i="1"/>
  <c r="H130" i="1"/>
  <c r="G146" i="1"/>
  <c r="B189" i="1" a="1"/>
  <c r="B189" i="1" s="1"/>
  <c r="B214" i="1" a="1"/>
  <c r="B214" i="1" s="1"/>
  <c r="G234" i="1"/>
  <c r="C134" i="1"/>
  <c r="C193" i="1"/>
  <c r="F15" i="1"/>
  <c r="C54" i="1"/>
  <c r="F270" i="1"/>
  <c r="E295" i="1"/>
  <c r="G246" i="1"/>
  <c r="G293" i="1"/>
  <c r="B36" i="1" a="1"/>
  <c r="B36" i="1" s="1"/>
  <c r="F78" i="1"/>
  <c r="B99" i="1" a="1"/>
  <c r="B99" i="1" s="1"/>
  <c r="B114" i="1" a="1"/>
  <c r="B114" i="1" s="1"/>
  <c r="G210" i="1"/>
  <c r="F13" i="1"/>
  <c r="D250" i="1"/>
  <c r="H293" i="1"/>
  <c r="G9" i="1"/>
  <c r="B26" i="1" a="1"/>
  <c r="B26" i="1" s="1"/>
  <c r="C36" i="1"/>
  <c r="F69" i="1"/>
  <c r="G78" i="1"/>
  <c r="G99" i="1"/>
  <c r="B146" i="1" a="1"/>
  <c r="B146" i="1" s="1"/>
  <c r="H210" i="1"/>
  <c r="B234" i="1" a="1"/>
  <c r="B234" i="1" s="1"/>
  <c r="D133" i="1"/>
  <c r="C186" i="1"/>
  <c r="F53" i="1"/>
  <c r="C13" i="1"/>
  <c r="B49" i="1" a="1"/>
  <c r="B49" i="1" s="1"/>
  <c r="G116" i="1"/>
  <c r="B133" i="1" a="1"/>
  <c r="B133" i="1" s="1"/>
  <c r="H146" i="1"/>
  <c r="H193" i="1"/>
  <c r="G214" i="1"/>
  <c r="D193" i="1"/>
  <c r="C16" i="1"/>
  <c r="F54" i="1"/>
  <c r="B198" i="1" a="1"/>
  <c r="B198" i="1" s="1"/>
  <c r="H218" i="1"/>
  <c r="H15" i="1"/>
  <c r="G198" i="1"/>
  <c r="C260" i="1"/>
  <c r="H19" i="1"/>
  <c r="B34" i="1" a="1"/>
  <c r="B34" i="1" s="1"/>
  <c r="G138" i="1"/>
  <c r="B154" i="1" a="1"/>
  <c r="B154" i="1" s="1"/>
  <c r="E260" i="1"/>
  <c r="B55" i="1" a="1"/>
  <c r="B55" i="1" s="1"/>
  <c r="G75" i="1"/>
  <c r="H138" i="1"/>
  <c r="D300" i="1"/>
  <c r="D118" i="1"/>
  <c r="D294" i="1"/>
  <c r="D214" i="1"/>
  <c r="G254" i="1"/>
  <c r="H270" i="1"/>
  <c r="F295" i="1"/>
  <c r="G13" i="1"/>
  <c r="H28" i="1"/>
  <c r="G40" i="1"/>
  <c r="C49" i="1"/>
  <c r="B73" i="1" a="1"/>
  <c r="B73" i="1" s="1"/>
  <c r="B82" i="1" a="1"/>
  <c r="B82" i="1" s="1"/>
  <c r="G133" i="1"/>
  <c r="B194" i="1" a="1"/>
  <c r="B194" i="1" s="1"/>
  <c r="C194" i="1"/>
  <c r="E16" i="1"/>
  <c r="D169" i="1"/>
  <c r="H254" i="1"/>
  <c r="H272" i="1"/>
  <c r="C299" i="1"/>
  <c r="H217" i="1"/>
  <c r="H136" i="1"/>
  <c r="H133" i="1"/>
  <c r="B216" i="1" a="1"/>
  <c r="B216" i="1" s="1"/>
  <c r="C136" i="1"/>
  <c r="D140" i="1"/>
  <c r="D80" i="1"/>
  <c r="F299" i="1"/>
  <c r="D12" i="1"/>
  <c r="G12" i="1"/>
  <c r="C12" i="1"/>
  <c r="B12" i="1" a="1"/>
  <c r="B12" i="1" s="1"/>
  <c r="F71" i="1"/>
  <c r="E71" i="1"/>
  <c r="B71" i="1" a="1"/>
  <c r="B71" i="1" s="1"/>
  <c r="C292" i="1"/>
  <c r="G112" i="1"/>
  <c r="H151" i="1"/>
  <c r="D292" i="1"/>
  <c r="H112" i="1"/>
  <c r="B244" i="1" a="1"/>
  <c r="B244" i="1" s="1"/>
  <c r="H40" i="1"/>
  <c r="C60" i="1"/>
  <c r="B100" i="1" a="1"/>
  <c r="B100" i="1" s="1"/>
  <c r="F12" i="1"/>
  <c r="C244" i="1"/>
  <c r="E258" i="1"/>
  <c r="F19" i="1"/>
  <c r="B31" i="1" a="1"/>
  <c r="B31" i="1" s="1"/>
  <c r="B41" i="1" a="1"/>
  <c r="B41" i="1" s="1"/>
  <c r="F60" i="1"/>
  <c r="G100" i="1"/>
  <c r="H244" i="1"/>
  <c r="C41" i="1"/>
  <c r="H100" i="1"/>
  <c r="B171" i="1" a="1"/>
  <c r="B171" i="1" s="1"/>
  <c r="F52" i="1"/>
  <c r="C52" i="1"/>
  <c r="E52" i="1"/>
  <c r="B52" i="1" a="1"/>
  <c r="B52" i="1" s="1"/>
  <c r="H52" i="1"/>
  <c r="G52" i="1"/>
  <c r="B292" i="1" a="1"/>
  <c r="B292" i="1" s="1"/>
  <c r="G292" i="1"/>
  <c r="F292" i="1"/>
  <c r="E292" i="1"/>
  <c r="G91" i="1"/>
  <c r="B92" i="1" a="1"/>
  <c r="B92" i="1" s="1"/>
  <c r="G201" i="1"/>
  <c r="B201" i="1" a="1"/>
  <c r="B201" i="1" s="1"/>
  <c r="C201" i="1"/>
  <c r="D181" i="1"/>
  <c r="C181" i="1"/>
  <c r="B141" i="1" a="1"/>
  <c r="B141" i="1" s="1"/>
  <c r="H141" i="1"/>
  <c r="G141" i="1"/>
  <c r="C121" i="1"/>
  <c r="D121" i="1"/>
  <c r="H121" i="1"/>
  <c r="G101" i="1"/>
  <c r="B101" i="1" a="1"/>
  <c r="B101" i="1" s="1"/>
  <c r="H61" i="1"/>
  <c r="C61" i="1"/>
  <c r="B61" i="1" a="1"/>
  <c r="B61" i="1" s="1"/>
  <c r="C21" i="1"/>
  <c r="F21" i="1"/>
  <c r="H21" i="1"/>
  <c r="G21" i="1"/>
  <c r="B253" i="1" a="1"/>
  <c r="B253" i="1" s="1"/>
  <c r="H253" i="1"/>
  <c r="G253" i="1"/>
  <c r="C253" i="1"/>
  <c r="C267" i="1"/>
  <c r="H267" i="1"/>
  <c r="G267" i="1"/>
  <c r="F267" i="1"/>
  <c r="E267" i="1"/>
  <c r="C275" i="1"/>
  <c r="F275" i="1"/>
  <c r="E275" i="1"/>
  <c r="F297" i="1"/>
  <c r="B212" i="1" a="1"/>
  <c r="B212" i="1" s="1"/>
  <c r="C212" i="1"/>
  <c r="H212" i="1"/>
  <c r="G212" i="1"/>
  <c r="F32" i="1"/>
  <c r="G71" i="1"/>
  <c r="H172" i="1"/>
  <c r="C111" i="1"/>
  <c r="H71" i="1"/>
  <c r="F39" i="1"/>
  <c r="B39" i="1" a="1"/>
  <c r="B39" i="1" s="1"/>
  <c r="H39" i="1"/>
  <c r="G39" i="1"/>
  <c r="C39" i="1"/>
  <c r="C251" i="1"/>
  <c r="H251" i="1"/>
  <c r="G251" i="1"/>
  <c r="H297" i="1"/>
  <c r="H12" i="1"/>
  <c r="C72" i="1"/>
  <c r="B160" i="1" a="1"/>
  <c r="B160" i="1" s="1"/>
  <c r="C220" i="1"/>
  <c r="G218" i="1"/>
  <c r="B218" i="1" a="1"/>
  <c r="B218" i="1" s="1"/>
  <c r="B178" i="1" a="1"/>
  <c r="B178" i="1" s="1"/>
  <c r="D178" i="1"/>
  <c r="H178" i="1"/>
  <c r="G178" i="1"/>
  <c r="C178" i="1"/>
  <c r="C158" i="1"/>
  <c r="G158" i="1"/>
  <c r="B158" i="1" a="1"/>
  <c r="B158" i="1" s="1"/>
  <c r="G98" i="1"/>
  <c r="C98" i="1"/>
  <c r="B98" i="1" a="1"/>
  <c r="B98" i="1" s="1"/>
  <c r="H78" i="1"/>
  <c r="E78" i="1"/>
  <c r="C78" i="1"/>
  <c r="C58" i="1"/>
  <c r="B58" i="1" a="1"/>
  <c r="B58" i="1" s="1"/>
  <c r="H58" i="1"/>
  <c r="G58" i="1"/>
  <c r="F58" i="1"/>
  <c r="G38" i="1"/>
  <c r="H38" i="1"/>
  <c r="F38" i="1"/>
  <c r="F18" i="1"/>
  <c r="H18" i="1"/>
  <c r="G18" i="1"/>
  <c r="B18" i="1" a="1"/>
  <c r="B18" i="1" s="1"/>
  <c r="E18" i="1"/>
  <c r="C18" i="1"/>
  <c r="D264" i="1"/>
  <c r="H264" i="1"/>
  <c r="F272" i="1"/>
  <c r="C272" i="1"/>
  <c r="B272" i="1" a="1"/>
  <c r="B272" i="1" s="1"/>
  <c r="E250" i="1"/>
  <c r="E264" i="1"/>
  <c r="B232" i="1" a="1"/>
  <c r="B232" i="1" s="1"/>
  <c r="D232" i="1"/>
  <c r="H192" i="1"/>
  <c r="B192" i="1" a="1"/>
  <c r="B192" i="1" s="1"/>
  <c r="G192" i="1"/>
  <c r="C152" i="1"/>
  <c r="D152" i="1"/>
  <c r="G152" i="1"/>
  <c r="B152" i="1" a="1"/>
  <c r="B152" i="1" s="1"/>
  <c r="C132" i="1"/>
  <c r="B132" i="1" a="1"/>
  <c r="B132" i="1" s="1"/>
  <c r="G32" i="1"/>
  <c r="H32" i="1"/>
  <c r="H298" i="1"/>
  <c r="C298" i="1"/>
  <c r="B298" i="1" a="1"/>
  <c r="B298" i="1" s="1"/>
  <c r="C192" i="1"/>
  <c r="C211" i="1"/>
  <c r="H211" i="1"/>
  <c r="G211" i="1"/>
  <c r="B211" i="1" a="1"/>
  <c r="B211" i="1" s="1"/>
  <c r="B91" i="1" a="1"/>
  <c r="B91" i="1" s="1"/>
  <c r="C91" i="1"/>
  <c r="F51" i="1"/>
  <c r="H51" i="1"/>
  <c r="G51" i="1"/>
  <c r="H31" i="1"/>
  <c r="G31" i="1"/>
  <c r="C11" i="1"/>
  <c r="B11" i="1" a="1"/>
  <c r="B11" i="1" s="1"/>
  <c r="F11" i="1"/>
  <c r="H11" i="1"/>
  <c r="G11" i="1"/>
  <c r="D243" i="1"/>
  <c r="G243" i="1"/>
  <c r="F243" i="1"/>
  <c r="E243" i="1"/>
  <c r="C243" i="1"/>
  <c r="H171" i="1"/>
  <c r="G231" i="1"/>
  <c r="G172" i="1"/>
  <c r="G92" i="1"/>
  <c r="H92" i="1"/>
  <c r="G132" i="1"/>
  <c r="E79" i="1"/>
  <c r="C79" i="1"/>
  <c r="H79" i="1"/>
  <c r="G79" i="1"/>
  <c r="F79" i="1"/>
  <c r="B79" i="1" a="1"/>
  <c r="B79" i="1" s="1"/>
  <c r="C19" i="1"/>
  <c r="B19" i="1" a="1"/>
  <c r="B19" i="1" s="1"/>
  <c r="H273" i="1"/>
  <c r="G273" i="1"/>
  <c r="F273" i="1"/>
  <c r="B273" i="1" a="1"/>
  <c r="B273" i="1" s="1"/>
  <c r="E273" i="1"/>
  <c r="C273" i="1"/>
  <c r="G160" i="1"/>
  <c r="D265" i="1"/>
  <c r="D28" i="1"/>
  <c r="F250" i="1"/>
  <c r="F264" i="1"/>
  <c r="H220" i="1"/>
  <c r="G220" i="1"/>
  <c r="B220" i="1" a="1"/>
  <c r="B220" i="1" s="1"/>
  <c r="B200" i="1" a="1"/>
  <c r="B200" i="1" s="1"/>
  <c r="H200" i="1"/>
  <c r="G200" i="1"/>
  <c r="G180" i="1"/>
  <c r="B180" i="1" a="1"/>
  <c r="B180" i="1" s="1"/>
  <c r="C180" i="1"/>
  <c r="C140" i="1"/>
  <c r="B140" i="1" a="1"/>
  <c r="B140" i="1" s="1"/>
  <c r="C120" i="1"/>
  <c r="H120" i="1"/>
  <c r="G120" i="1"/>
  <c r="C40" i="1"/>
  <c r="B40" i="1" a="1"/>
  <c r="B40" i="1" s="1"/>
  <c r="G266" i="1"/>
  <c r="F266" i="1"/>
  <c r="G297" i="1"/>
  <c r="B72" i="1" a="1"/>
  <c r="B72" i="1" s="1"/>
  <c r="D160" i="1"/>
  <c r="H219" i="1"/>
  <c r="G219" i="1"/>
  <c r="B199" i="1" a="1"/>
  <c r="B199" i="1" s="1"/>
  <c r="H199" i="1"/>
  <c r="G199" i="1"/>
  <c r="D199" i="1"/>
  <c r="C199" i="1"/>
  <c r="C119" i="1"/>
  <c r="D119" i="1"/>
  <c r="F59" i="1"/>
  <c r="D59" i="1"/>
  <c r="C59" i="1"/>
  <c r="B59" i="1" a="1"/>
  <c r="B59" i="1" s="1"/>
  <c r="H265" i="1"/>
  <c r="G265" i="1"/>
  <c r="C265" i="1"/>
  <c r="B265" i="1" a="1"/>
  <c r="B265" i="1" s="1"/>
  <c r="E72" i="1"/>
  <c r="F72" i="1"/>
  <c r="B121" i="1" a="1"/>
  <c r="B121" i="1" s="1"/>
  <c r="G236" i="1"/>
  <c r="H236" i="1"/>
  <c r="B236" i="1" a="1"/>
  <c r="B236" i="1" s="1"/>
  <c r="B196" i="1" a="1"/>
  <c r="B196" i="1" s="1"/>
  <c r="H196" i="1"/>
  <c r="G196" i="1"/>
  <c r="H176" i="1"/>
  <c r="B176" i="1" a="1"/>
  <c r="B176" i="1" s="1"/>
  <c r="G176" i="1"/>
  <c r="C176" i="1"/>
  <c r="H156" i="1"/>
  <c r="G156" i="1"/>
  <c r="B156" i="1" a="1"/>
  <c r="B156" i="1" s="1"/>
  <c r="B116" i="1" a="1"/>
  <c r="B116" i="1" s="1"/>
  <c r="C116" i="1"/>
  <c r="B96" i="1" a="1"/>
  <c r="B96" i="1" s="1"/>
  <c r="C96" i="1"/>
  <c r="H96" i="1"/>
  <c r="G96" i="1"/>
  <c r="H56" i="1"/>
  <c r="C56" i="1"/>
  <c r="B56" i="1" a="1"/>
  <c r="B56" i="1" s="1"/>
  <c r="H36" i="1"/>
  <c r="F36" i="1"/>
  <c r="G36" i="1"/>
  <c r="D16" i="1"/>
  <c r="B16" i="1" a="1"/>
  <c r="B16" i="1" s="1"/>
  <c r="H16" i="1"/>
  <c r="G16" i="1"/>
  <c r="G248" i="1"/>
  <c r="H248" i="1"/>
  <c r="F248" i="1"/>
  <c r="D262" i="1"/>
  <c r="G262" i="1"/>
  <c r="F262" i="1"/>
  <c r="E262" i="1"/>
  <c r="C262" i="1"/>
  <c r="B251" i="1" a="1"/>
  <c r="B251" i="1" s="1"/>
  <c r="G264" i="1"/>
  <c r="B32" i="1" a="1"/>
  <c r="B32" i="1" s="1"/>
  <c r="G171" i="1"/>
  <c r="B231" i="1" a="1"/>
  <c r="B231" i="1" s="1"/>
  <c r="B51" i="1" a="1"/>
  <c r="B51" i="1" s="1"/>
  <c r="H232" i="1"/>
  <c r="D297" i="1"/>
  <c r="C51" i="1"/>
  <c r="C112" i="1"/>
  <c r="C80" i="1"/>
  <c r="G80" i="1"/>
  <c r="B80" i="1" a="1"/>
  <c r="B80" i="1" s="1"/>
  <c r="H252" i="1"/>
  <c r="E252" i="1"/>
  <c r="D252" i="1"/>
  <c r="B252" i="1" a="1"/>
  <c r="B252" i="1" s="1"/>
  <c r="G274" i="1"/>
  <c r="B274" i="1" a="1"/>
  <c r="B274" i="1" s="1"/>
  <c r="C139" i="1"/>
  <c r="H139" i="1"/>
  <c r="H80" i="1"/>
  <c r="H180" i="1"/>
  <c r="E80" i="1"/>
  <c r="G72" i="1"/>
  <c r="G121" i="1"/>
  <c r="B181" i="1" a="1"/>
  <c r="B181" i="1" s="1"/>
  <c r="B219" i="1" a="1"/>
  <c r="B219" i="1" s="1"/>
  <c r="F80" i="1"/>
  <c r="C231" i="1"/>
  <c r="G235" i="1"/>
  <c r="B235" i="1" a="1"/>
  <c r="B235" i="1" s="1"/>
  <c r="H235" i="1"/>
  <c r="G175" i="1"/>
  <c r="H175" i="1"/>
  <c r="C175" i="1"/>
  <c r="H135" i="1"/>
  <c r="G135" i="1"/>
  <c r="B135" i="1" a="1"/>
  <c r="B135" i="1" s="1"/>
  <c r="H115" i="1"/>
  <c r="G115" i="1"/>
  <c r="B115" i="1" a="1"/>
  <c r="B115" i="1" s="1"/>
  <c r="C115" i="1"/>
  <c r="C95" i="1"/>
  <c r="H95" i="1"/>
  <c r="B95" i="1" a="1"/>
  <c r="B95" i="1" s="1"/>
  <c r="G95" i="1"/>
  <c r="E251" i="1"/>
  <c r="E265" i="1"/>
  <c r="B50" i="1" a="1"/>
  <c r="B50" i="1" s="1"/>
  <c r="H55" i="1"/>
  <c r="D238" i="1"/>
  <c r="G245" i="1"/>
  <c r="E259" i="1"/>
  <c r="G281" i="1"/>
  <c r="B210" i="1" a="1"/>
  <c r="B210" i="1" s="1"/>
  <c r="D141" i="1"/>
  <c r="H245" i="1"/>
  <c r="F259" i="1"/>
  <c r="H281" i="1"/>
  <c r="D116" i="1"/>
  <c r="D96" i="1"/>
  <c r="D76" i="1"/>
  <c r="D241" i="1"/>
  <c r="F246" i="1"/>
  <c r="D260" i="1"/>
  <c r="D284" i="1"/>
  <c r="C294" i="1"/>
  <c r="C300" i="1"/>
  <c r="D218" i="1"/>
  <c r="D60" i="1"/>
  <c r="C284" i="1"/>
  <c r="G189" i="1"/>
  <c r="D79" i="1"/>
  <c r="D58" i="1"/>
  <c r="D135" i="1"/>
  <c r="E241" i="1"/>
  <c r="F284" i="1"/>
  <c r="G70" i="1"/>
  <c r="D114" i="1"/>
  <c r="D94" i="1"/>
  <c r="F241" i="1"/>
  <c r="C261" i="1"/>
  <c r="G286" i="1"/>
  <c r="F294" i="1"/>
  <c r="E300" i="1"/>
  <c r="E27" i="1"/>
  <c r="H33" i="1"/>
  <c r="H70" i="1"/>
  <c r="B90" i="1" a="1"/>
  <c r="B90" i="1" s="1"/>
  <c r="G169" i="1"/>
  <c r="B213" i="1" a="1"/>
  <c r="B213" i="1" s="1"/>
  <c r="C213" i="1"/>
  <c r="F10" i="1"/>
  <c r="D273" i="1"/>
  <c r="D253" i="1"/>
  <c r="D93" i="1"/>
  <c r="B247" i="1" a="1"/>
  <c r="B247" i="1" s="1"/>
  <c r="B254" i="1" a="1"/>
  <c r="B254" i="1" s="1"/>
  <c r="G294" i="1"/>
  <c r="F300" i="1"/>
  <c r="B75" i="1" a="1"/>
  <c r="B75" i="1" s="1"/>
  <c r="G90" i="1"/>
  <c r="B108" i="1" a="1"/>
  <c r="B108" i="1" s="1"/>
  <c r="H169" i="1"/>
  <c r="G213" i="1"/>
  <c r="C55" i="1"/>
  <c r="D272" i="1"/>
  <c r="D172" i="1"/>
  <c r="D132" i="1"/>
  <c r="D112" i="1"/>
  <c r="D52" i="1"/>
  <c r="G247" i="1"/>
  <c r="C254" i="1"/>
  <c r="D289" i="1"/>
  <c r="H294" i="1"/>
  <c r="G300" i="1"/>
  <c r="D298" i="1"/>
  <c r="D40" i="1"/>
  <c r="H9" i="1"/>
  <c r="B70" i="1" a="1"/>
  <c r="B70" i="1" s="1"/>
  <c r="D9" i="1"/>
  <c r="D196" i="1"/>
  <c r="H10" i="1"/>
  <c r="H189" i="1"/>
  <c r="D295" i="1"/>
  <c r="D78" i="1"/>
  <c r="D155" i="1"/>
  <c r="D75" i="1"/>
  <c r="B53" i="1" a="1"/>
  <c r="B53" i="1" s="1"/>
  <c r="C75" i="1"/>
  <c r="H108" i="1"/>
  <c r="B170" i="1" a="1"/>
  <c r="B170" i="1" s="1"/>
  <c r="B193" i="1" a="1"/>
  <c r="B193" i="1" s="1"/>
  <c r="D251" i="1"/>
  <c r="D74" i="1"/>
  <c r="D211" i="1"/>
  <c r="D34" i="1"/>
  <c r="D171" i="1"/>
  <c r="D151" i="1"/>
  <c r="D111" i="1"/>
  <c r="E254" i="1"/>
  <c r="B268" i="1" a="1"/>
  <c r="B268" i="1" s="1"/>
  <c r="E289" i="1"/>
  <c r="B295" i="1" a="1"/>
  <c r="B295" i="1" s="1"/>
  <c r="D98" i="1"/>
  <c r="D18" i="1"/>
  <c r="C241" i="1"/>
  <c r="B89" i="1" a="1"/>
  <c r="B89" i="1" s="1"/>
  <c r="G89" i="1"/>
  <c r="D275" i="1"/>
  <c r="D195" i="1"/>
  <c r="D175" i="1"/>
  <c r="H89" i="1"/>
  <c r="B169" i="1" a="1"/>
  <c r="B169" i="1" s="1"/>
  <c r="B29" i="1" a="1"/>
  <c r="B29" i="1" s="1"/>
  <c r="G53" i="1"/>
  <c r="F75" i="1"/>
  <c r="B109" i="1" a="1"/>
  <c r="B109" i="1" s="1"/>
  <c r="D150" i="1"/>
  <c r="D102" i="1"/>
  <c r="F289" i="1"/>
  <c r="C295" i="1"/>
  <c r="B301" i="1" a="1"/>
  <c r="B301" i="1" s="1"/>
  <c r="F5" i="1"/>
  <c r="H5" i="1"/>
  <c r="G5" i="1"/>
  <c r="G177" i="1"/>
  <c r="C5" i="1"/>
  <c r="B7" i="1" a="1"/>
  <c r="B7" i="1" s="1"/>
  <c r="H177" i="1"/>
  <c r="C249" i="1"/>
  <c r="B249" i="1" a="1"/>
  <c r="B249" i="1" s="1"/>
  <c r="B5" i="1" a="1"/>
  <c r="B5" i="1" s="1"/>
  <c r="B117" i="1" a="1"/>
  <c r="B117" i="1" s="1"/>
  <c r="C88" i="1"/>
  <c r="D249" i="1"/>
  <c r="G117" i="1"/>
  <c r="F88" i="1"/>
  <c r="C230" i="1"/>
  <c r="H230" i="1"/>
  <c r="G230" i="1"/>
  <c r="B230" i="1" a="1"/>
  <c r="B230" i="1" s="1"/>
  <c r="D190" i="1"/>
  <c r="C190" i="1"/>
  <c r="H190" i="1"/>
  <c r="G190" i="1"/>
  <c r="B190" i="1" a="1"/>
  <c r="B190" i="1" s="1"/>
  <c r="C170" i="1"/>
  <c r="D170" i="1"/>
  <c r="B150" i="1" a="1"/>
  <c r="B150" i="1" s="1"/>
  <c r="C150" i="1"/>
  <c r="H150" i="1"/>
  <c r="B130" i="1" a="1"/>
  <c r="B130" i="1" s="1"/>
  <c r="D130" i="1"/>
  <c r="C130" i="1"/>
  <c r="D110" i="1"/>
  <c r="C110" i="1"/>
  <c r="E70" i="1"/>
  <c r="D70" i="1"/>
  <c r="C70" i="1"/>
  <c r="G50" i="1"/>
  <c r="F50" i="1"/>
  <c r="F30" i="1"/>
  <c r="C30" i="1"/>
  <c r="G10" i="1"/>
  <c r="B10" i="1" a="1"/>
  <c r="B10" i="1" s="1"/>
  <c r="D10" i="1"/>
  <c r="E242" i="1"/>
  <c r="C242" i="1"/>
  <c r="B242" i="1" a="1"/>
  <c r="B242" i="1" s="1"/>
  <c r="H242" i="1"/>
  <c r="G242" i="1"/>
  <c r="F242" i="1"/>
  <c r="H284" i="1"/>
  <c r="G284" i="1"/>
  <c r="H290" i="1"/>
  <c r="G290" i="1"/>
  <c r="F290" i="1"/>
  <c r="E290" i="1"/>
  <c r="D290" i="1"/>
  <c r="C290" i="1"/>
  <c r="B271" i="1" a="1"/>
  <c r="B271" i="1" s="1"/>
  <c r="E284" i="1"/>
  <c r="B127" i="1" a="1"/>
  <c r="B127" i="1" s="1"/>
  <c r="D127" i="1"/>
  <c r="H127" i="1"/>
  <c r="D226" i="1"/>
  <c r="C226" i="1"/>
  <c r="C206" i="1"/>
  <c r="H206" i="1"/>
  <c r="G206" i="1"/>
  <c r="B206" i="1" a="1"/>
  <c r="B206" i="1" s="1"/>
  <c r="D166" i="1"/>
  <c r="C166" i="1"/>
  <c r="H166" i="1"/>
  <c r="G166" i="1"/>
  <c r="B166" i="1" a="1"/>
  <c r="B166" i="1" s="1"/>
  <c r="C126" i="1"/>
  <c r="H126" i="1"/>
  <c r="G126" i="1"/>
  <c r="B126" i="1" a="1"/>
  <c r="B126" i="1" s="1"/>
  <c r="H106" i="1"/>
  <c r="G106" i="1"/>
  <c r="H86" i="1"/>
  <c r="G86" i="1"/>
  <c r="H46" i="1"/>
  <c r="G46" i="1"/>
  <c r="F46" i="1"/>
  <c r="B46" i="1" a="1"/>
  <c r="B46" i="1" s="1"/>
  <c r="H26" i="1"/>
  <c r="E26" i="1"/>
  <c r="F26" i="1"/>
  <c r="E6" i="1"/>
  <c r="D6" i="1"/>
  <c r="C6" i="1"/>
  <c r="H6" i="1"/>
  <c r="G6" i="1"/>
  <c r="B6" i="1" a="1"/>
  <c r="B6" i="1" s="1"/>
  <c r="H238" i="1"/>
  <c r="B238" i="1" a="1"/>
  <c r="B238" i="1" s="1"/>
  <c r="C280" i="1"/>
  <c r="B280" i="1" a="1"/>
  <c r="B280" i="1" s="1"/>
  <c r="H280" i="1"/>
  <c r="G280" i="1"/>
  <c r="F280" i="1"/>
  <c r="E280" i="1"/>
  <c r="D280" i="1"/>
  <c r="F286" i="1"/>
  <c r="E286" i="1"/>
  <c r="D286" i="1"/>
  <c r="C286" i="1"/>
  <c r="B286" i="1" a="1"/>
  <c r="B286" i="1" s="1"/>
  <c r="G278" i="1"/>
  <c r="F77" i="1"/>
  <c r="D77" i="1"/>
  <c r="B77" i="1" a="1"/>
  <c r="B77" i="1" s="1"/>
  <c r="C77" i="1"/>
  <c r="G263" i="1"/>
  <c r="F263" i="1"/>
  <c r="E263" i="1"/>
  <c r="D263" i="1"/>
  <c r="C263" i="1"/>
  <c r="E77" i="1"/>
  <c r="H282" i="1"/>
  <c r="G282" i="1"/>
  <c r="F282" i="1"/>
  <c r="E282" i="1"/>
  <c r="D282" i="1"/>
  <c r="C282" i="1"/>
  <c r="H287" i="1"/>
  <c r="G287" i="1"/>
  <c r="F287" i="1"/>
  <c r="C217" i="1"/>
  <c r="F225" i="1"/>
  <c r="C225" i="1"/>
  <c r="G205" i="1"/>
  <c r="B205" i="1" a="1"/>
  <c r="B205" i="1" s="1"/>
  <c r="C205" i="1"/>
  <c r="G165" i="1"/>
  <c r="B165" i="1" a="1"/>
  <c r="B165" i="1" s="1"/>
  <c r="G105" i="1"/>
  <c r="B105" i="1" a="1"/>
  <c r="B105" i="1" s="1"/>
  <c r="G85" i="1"/>
  <c r="B85" i="1" a="1"/>
  <c r="B85" i="1" s="1"/>
  <c r="C85" i="1"/>
  <c r="F65" i="1"/>
  <c r="H65" i="1"/>
  <c r="E65" i="1"/>
  <c r="C65" i="1"/>
  <c r="B65" i="1" a="1"/>
  <c r="B65" i="1" s="1"/>
  <c r="C45" i="1"/>
  <c r="B45" i="1" a="1"/>
  <c r="B45" i="1" s="1"/>
  <c r="H45" i="1"/>
  <c r="B237" i="1" a="1"/>
  <c r="B237" i="1" s="1"/>
  <c r="G237" i="1"/>
  <c r="D237" i="1"/>
  <c r="H279" i="1"/>
  <c r="G279" i="1"/>
  <c r="F279" i="1"/>
  <c r="E279" i="1"/>
  <c r="D279" i="1"/>
  <c r="C287" i="1"/>
  <c r="H107" i="1"/>
  <c r="G107" i="1"/>
  <c r="B107" i="1" a="1"/>
  <c r="B107" i="1" s="1"/>
  <c r="H224" i="1"/>
  <c r="B224" i="1" a="1"/>
  <c r="B224" i="1" s="1"/>
  <c r="C224" i="1"/>
  <c r="H204" i="1"/>
  <c r="G204" i="1"/>
  <c r="C204" i="1"/>
  <c r="D184" i="1"/>
  <c r="C184" i="1"/>
  <c r="H184" i="1"/>
  <c r="B184" i="1" a="1"/>
  <c r="B184" i="1" s="1"/>
  <c r="H164" i="1"/>
  <c r="G164" i="1"/>
  <c r="D144" i="1"/>
  <c r="H144" i="1"/>
  <c r="G144" i="1"/>
  <c r="B144" i="1" a="1"/>
  <c r="B144" i="1" s="1"/>
  <c r="D124" i="1"/>
  <c r="C124" i="1"/>
  <c r="H104" i="1"/>
  <c r="G104" i="1"/>
  <c r="H84" i="1"/>
  <c r="G84" i="1"/>
  <c r="B64" i="1" a="1"/>
  <c r="B64" i="1" s="1"/>
  <c r="H64" i="1"/>
  <c r="G64" i="1"/>
  <c r="H256" i="1"/>
  <c r="F256" i="1"/>
  <c r="E256" i="1"/>
  <c r="D256" i="1"/>
  <c r="C256" i="1"/>
  <c r="B256" i="1" a="1"/>
  <c r="B256" i="1" s="1"/>
  <c r="D270" i="1"/>
  <c r="C270" i="1"/>
  <c r="B270" i="1" a="1"/>
  <c r="B270" i="1" s="1"/>
  <c r="E278" i="1"/>
  <c r="D278" i="1"/>
  <c r="C278" i="1"/>
  <c r="B278" i="1" a="1"/>
  <c r="B278" i="1" s="1"/>
  <c r="G256" i="1"/>
  <c r="B279" i="1" a="1"/>
  <c r="B279" i="1" s="1"/>
  <c r="D287" i="1"/>
  <c r="H223" i="1"/>
  <c r="G223" i="1"/>
  <c r="B223" i="1" a="1"/>
  <c r="B223" i="1" s="1"/>
  <c r="C223" i="1"/>
  <c r="C183" i="1"/>
  <c r="H183" i="1"/>
  <c r="G183" i="1"/>
  <c r="B183" i="1" a="1"/>
  <c r="B183" i="1" s="1"/>
  <c r="G143" i="1"/>
  <c r="C143" i="1"/>
  <c r="H143" i="1"/>
  <c r="H63" i="1"/>
  <c r="G63" i="1"/>
  <c r="E63" i="1"/>
  <c r="C23" i="1"/>
  <c r="H23" i="1"/>
  <c r="B23" i="1" a="1"/>
  <c r="B23" i="1" s="1"/>
  <c r="G23" i="1"/>
  <c r="H255" i="1"/>
  <c r="F255" i="1"/>
  <c r="E255" i="1"/>
  <c r="D255" i="1"/>
  <c r="C255" i="1"/>
  <c r="B255" i="1" a="1"/>
  <c r="B255" i="1" s="1"/>
  <c r="D269" i="1"/>
  <c r="B269" i="1" a="1"/>
  <c r="B269" i="1" s="1"/>
  <c r="H269" i="1"/>
  <c r="G269" i="1"/>
  <c r="F269" i="1"/>
  <c r="E269" i="1"/>
  <c r="F277" i="1"/>
  <c r="E277" i="1"/>
  <c r="D277" i="1"/>
  <c r="C277" i="1"/>
  <c r="B277" i="1" a="1"/>
  <c r="B277" i="1" s="1"/>
  <c r="H277" i="1"/>
  <c r="G277" i="1"/>
  <c r="B257" i="1" a="1"/>
  <c r="B257" i="1" s="1"/>
  <c r="E287" i="1"/>
  <c r="C145" i="1"/>
  <c r="C257" i="1"/>
  <c r="C279" i="1"/>
  <c r="G137" i="1"/>
  <c r="C137" i="1"/>
  <c r="E17" i="1"/>
  <c r="H17" i="1"/>
  <c r="G17" i="1"/>
  <c r="F17" i="1"/>
  <c r="C17" i="1"/>
  <c r="H228" i="1"/>
  <c r="G228" i="1"/>
  <c r="G208" i="1"/>
  <c r="C208" i="1"/>
  <c r="H188" i="1"/>
  <c r="G188" i="1"/>
  <c r="C188" i="1"/>
  <c r="C168" i="1"/>
  <c r="H168" i="1"/>
  <c r="G168" i="1"/>
  <c r="B168" i="1" a="1"/>
  <c r="B168" i="1" s="1"/>
  <c r="H148" i="1"/>
  <c r="G148" i="1"/>
  <c r="B148" i="1" a="1"/>
  <c r="B148" i="1" s="1"/>
  <c r="H128" i="1"/>
  <c r="D128" i="1"/>
  <c r="G128" i="1"/>
  <c r="C128" i="1"/>
  <c r="B128" i="1" a="1"/>
  <c r="B128" i="1" s="1"/>
  <c r="F48" i="1"/>
  <c r="C48" i="1"/>
  <c r="D288" i="1"/>
  <c r="C288" i="1"/>
  <c r="B288" i="1" a="1"/>
  <c r="B288" i="1" s="1"/>
  <c r="H288" i="1"/>
  <c r="G288" i="1"/>
  <c r="F288" i="1"/>
  <c r="E288" i="1"/>
  <c r="D187" i="1"/>
  <c r="C187" i="1"/>
  <c r="D27" i="1"/>
  <c r="B27" i="1" a="1"/>
  <c r="B27" i="1" s="1"/>
  <c r="C27" i="1"/>
  <c r="H27" i="1"/>
  <c r="G27" i="1"/>
  <c r="H47" i="1"/>
  <c r="B48" i="1" a="1"/>
  <c r="B48" i="1" s="1"/>
  <c r="C165" i="1"/>
  <c r="D73" i="1"/>
  <c r="C25" i="1"/>
  <c r="G37" i="1"/>
  <c r="C66" i="1"/>
  <c r="B226" i="1" a="1"/>
  <c r="B226" i="1" s="1"/>
  <c r="D145" i="1"/>
  <c r="C197" i="1"/>
  <c r="D257" i="1"/>
  <c r="D281" i="1"/>
  <c r="H57" i="1"/>
  <c r="F57" i="1"/>
  <c r="B57" i="1" a="1"/>
  <c r="B57" i="1" s="1"/>
  <c r="C57" i="1"/>
  <c r="H249" i="1"/>
  <c r="G249" i="1"/>
  <c r="F249" i="1"/>
  <c r="C177" i="1"/>
  <c r="H117" i="1"/>
  <c r="F8" i="1"/>
  <c r="C8" i="1"/>
  <c r="G8" i="1"/>
  <c r="B88" i="1" a="1"/>
  <c r="B88" i="1" s="1"/>
  <c r="D188" i="1"/>
  <c r="G225" i="1"/>
  <c r="B17" i="1" a="1"/>
  <c r="B17" i="1" s="1"/>
  <c r="B25" i="1" a="1"/>
  <c r="B25" i="1" s="1"/>
  <c r="H48" i="1"/>
  <c r="G25" i="1"/>
  <c r="G66" i="1"/>
  <c r="G184" i="1"/>
  <c r="G226" i="1"/>
  <c r="C228" i="1"/>
  <c r="D63" i="1"/>
  <c r="D242" i="1"/>
  <c r="E257" i="1"/>
  <c r="B263" i="1" a="1"/>
  <c r="B263" i="1" s="1"/>
  <c r="H157" i="1"/>
  <c r="G157" i="1"/>
  <c r="B157" i="1" a="1"/>
  <c r="B157" i="1" s="1"/>
  <c r="D157" i="1"/>
  <c r="C157" i="1"/>
  <c r="H97" i="1"/>
  <c r="C97" i="1"/>
  <c r="C37" i="1"/>
  <c r="B37" i="1" a="1"/>
  <c r="B37" i="1" s="1"/>
  <c r="H37" i="1"/>
  <c r="H271" i="1"/>
  <c r="G271" i="1"/>
  <c r="F271" i="1"/>
  <c r="E271" i="1"/>
  <c r="D271" i="1"/>
  <c r="G77" i="1"/>
  <c r="F68" i="1"/>
  <c r="B68" i="1" a="1"/>
  <c r="B68" i="1" s="1"/>
  <c r="C68" i="1"/>
  <c r="G28" i="1"/>
  <c r="E28" i="1"/>
  <c r="B28" i="1" a="1"/>
  <c r="B28" i="1" s="1"/>
  <c r="F28" i="1"/>
  <c r="F240" i="1"/>
  <c r="D240" i="1"/>
  <c r="C240" i="1"/>
  <c r="B240" i="1" a="1"/>
  <c r="B240" i="1" s="1"/>
  <c r="E240" i="1"/>
  <c r="H207" i="1"/>
  <c r="C207" i="1"/>
  <c r="G207" i="1"/>
  <c r="B207" i="1" a="1"/>
  <c r="B207" i="1" s="1"/>
  <c r="H87" i="1"/>
  <c r="G87" i="1"/>
  <c r="B87" i="1" a="1"/>
  <c r="B87" i="1" s="1"/>
  <c r="H67" i="1"/>
  <c r="G67" i="1"/>
  <c r="F47" i="1"/>
  <c r="C47" i="1"/>
  <c r="G47" i="1"/>
  <c r="C7" i="1"/>
  <c r="F7" i="1"/>
  <c r="F239" i="1"/>
  <c r="D239" i="1"/>
  <c r="C239" i="1"/>
  <c r="B239" i="1" a="1"/>
  <c r="B239" i="1" s="1"/>
  <c r="H239" i="1"/>
  <c r="G239" i="1"/>
  <c r="C281" i="1"/>
  <c r="B281" i="1" a="1"/>
  <c r="B281" i="1" s="1"/>
  <c r="G240" i="1"/>
  <c r="H8" i="1"/>
  <c r="H147" i="1"/>
  <c r="H88" i="1"/>
  <c r="G48" i="1"/>
  <c r="H225" i="1"/>
  <c r="H25" i="1"/>
  <c r="B97" i="1" a="1"/>
  <c r="B97" i="1" s="1"/>
  <c r="B104" i="1" a="1"/>
  <c r="B104" i="1" s="1"/>
  <c r="B204" i="1" a="1"/>
  <c r="B204" i="1" s="1"/>
  <c r="H226" i="1"/>
  <c r="F257" i="1"/>
  <c r="F281" i="1"/>
  <c r="H142" i="1"/>
  <c r="B248" i="1" a="1"/>
  <c r="B248" i="1" s="1"/>
  <c r="G258" i="1"/>
  <c r="E261" i="1"/>
  <c r="H266" i="1"/>
  <c r="H274" i="1"/>
  <c r="G285" i="1"/>
  <c r="C291" i="1"/>
  <c r="F296" i="1"/>
  <c r="H182" i="1"/>
  <c r="D123" i="1"/>
  <c r="C142" i="1"/>
  <c r="C156" i="1"/>
  <c r="D162" i="1"/>
  <c r="D122" i="1"/>
  <c r="D245" i="1"/>
  <c r="G250" i="1"/>
  <c r="E253" i="1"/>
  <c r="H258" i="1"/>
  <c r="F261" i="1"/>
  <c r="C264" i="1"/>
  <c r="B267" i="1" a="1"/>
  <c r="B267" i="1" s="1"/>
  <c r="E272" i="1"/>
  <c r="B275" i="1" a="1"/>
  <c r="B275" i="1" s="1"/>
  <c r="C283" i="1"/>
  <c r="H285" i="1"/>
  <c r="D291" i="1"/>
  <c r="G296" i="1"/>
  <c r="D299" i="1"/>
  <c r="D142" i="1"/>
  <c r="C248" i="1"/>
  <c r="H250" i="1"/>
  <c r="F253" i="1"/>
  <c r="G261" i="1"/>
  <c r="D283" i="1"/>
  <c r="E291" i="1"/>
  <c r="H296" i="1"/>
  <c r="E299" i="1"/>
  <c r="B243" i="1" a="1"/>
  <c r="B243" i="1" s="1"/>
  <c r="D248" i="1"/>
  <c r="H261" i="1"/>
  <c r="E283" i="1"/>
  <c r="F291" i="1"/>
  <c r="B297" i="1" a="1"/>
  <c r="B297" i="1" s="1"/>
  <c r="E248" i="1"/>
  <c r="B262" i="1" a="1"/>
  <c r="B262" i="1" s="1"/>
  <c r="F283" i="1"/>
  <c r="B289" i="1" a="1"/>
  <c r="B289" i="1" s="1"/>
  <c r="G291" i="1"/>
  <c r="C297" i="1"/>
  <c r="G299" i="1"/>
  <c r="D177" i="1"/>
  <c r="D117" i="1"/>
  <c r="H283" i="1"/>
  <c r="F268" i="1"/>
  <c r="G276" i="1"/>
  <c r="G15" i="1"/>
  <c r="D72" i="1"/>
  <c r="D189" i="1"/>
  <c r="D129" i="1"/>
  <c r="G241" i="1"/>
  <c r="D244" i="1"/>
  <c r="C247" i="1"/>
  <c r="F252" i="1"/>
  <c r="B258" i="1" a="1"/>
  <c r="B258" i="1" s="1"/>
  <c r="F260" i="1"/>
  <c r="B266" i="1" a="1"/>
  <c r="B266" i="1" s="1"/>
  <c r="G268" i="1"/>
  <c r="G295" i="1"/>
  <c r="E298" i="1"/>
  <c r="C301" i="1"/>
  <c r="D108" i="1"/>
  <c r="E244" i="1"/>
  <c r="D247" i="1"/>
  <c r="G252" i="1"/>
  <c r="G260" i="1"/>
  <c r="C266" i="1"/>
  <c r="C274" i="1"/>
  <c r="B285" i="1" a="1"/>
  <c r="B285" i="1" s="1"/>
  <c r="C293" i="1"/>
  <c r="F298" i="1"/>
  <c r="D301" i="1"/>
  <c r="D207" i="1"/>
  <c r="F244" i="1"/>
  <c r="E247" i="1"/>
  <c r="B250" i="1" a="1"/>
  <c r="B250" i="1" s="1"/>
  <c r="C258" i="1"/>
  <c r="D266" i="1"/>
  <c r="D274" i="1"/>
  <c r="C285" i="1"/>
  <c r="D293" i="1"/>
  <c r="B296" i="1" a="1"/>
  <c r="B296" i="1" s="1"/>
  <c r="G298" i="1"/>
  <c r="E301" i="1"/>
  <c r="D126" i="1"/>
  <c r="F247" i="1"/>
  <c r="D258" i="1"/>
  <c r="B261" i="1" a="1"/>
  <c r="B261" i="1" s="1"/>
  <c r="E266" i="1"/>
  <c r="E274" i="1"/>
  <c r="D285" i="1"/>
  <c r="E293" i="1"/>
  <c r="C296" i="1"/>
  <c r="F301" i="1"/>
  <c r="F274" i="1"/>
  <c r="E285" i="1"/>
  <c r="D296" i="1"/>
  <c r="G301" i="1"/>
  <c r="D224" i="1"/>
  <c r="D217" i="1"/>
  <c r="D215" i="1"/>
  <c r="D54" i="1"/>
  <c r="D229" i="1"/>
  <c r="D236" i="1"/>
  <c r="D233" i="1"/>
  <c r="D227" i="1"/>
  <c r="D209" i="1"/>
  <c r="D191" i="1"/>
  <c r="D167" i="1"/>
  <c r="D149" i="1"/>
  <c r="D131" i="1"/>
  <c r="D113" i="1"/>
  <c r="D101" i="1"/>
  <c r="D71" i="1"/>
  <c r="D41" i="1"/>
  <c r="D5" i="1"/>
  <c r="D231" i="1"/>
  <c r="D213" i="1"/>
  <c r="D235" i="1"/>
  <c r="D230" i="1"/>
  <c r="D212" i="1"/>
  <c r="D206" i="1"/>
  <c r="D194" i="1"/>
  <c r="C113" i="1"/>
  <c r="D137" i="1"/>
  <c r="C173" i="1"/>
  <c r="D197" i="1"/>
  <c r="D17" i="1"/>
  <c r="B113" i="1" a="1"/>
  <c r="B113" i="1" s="1"/>
  <c r="B119" i="1" a="1"/>
  <c r="B119" i="1" s="1"/>
  <c r="B125" i="1" a="1"/>
  <c r="B125" i="1" s="1"/>
  <c r="B131" i="1" a="1"/>
  <c r="B131" i="1" s="1"/>
  <c r="B137" i="1" a="1"/>
  <c r="B137" i="1" s="1"/>
  <c r="B143" i="1" a="1"/>
  <c r="B143" i="1" s="1"/>
  <c r="B149" i="1" a="1"/>
  <c r="B149" i="1" s="1"/>
  <c r="B155" i="1" a="1"/>
  <c r="B155" i="1" s="1"/>
  <c r="B161" i="1" a="1"/>
  <c r="B161" i="1" s="1"/>
  <c r="B167" i="1" a="1"/>
  <c r="B167" i="1" s="1"/>
  <c r="B173" i="1" a="1"/>
  <c r="B173" i="1" s="1"/>
  <c r="B179" i="1" a="1"/>
  <c r="B179" i="1" s="1"/>
  <c r="B185" i="1" a="1"/>
  <c r="B185" i="1" s="1"/>
  <c r="B191" i="1" a="1"/>
  <c r="B191" i="1" s="1"/>
  <c r="B197" i="1" a="1"/>
  <c r="B197" i="1" s="1"/>
  <c r="C101" i="1"/>
  <c r="C131" i="1"/>
  <c r="C161" i="1"/>
  <c r="D173" i="1"/>
  <c r="C203" i="1"/>
  <c r="C221" i="1"/>
  <c r="C71" i="1"/>
  <c r="D216" i="1"/>
  <c r="D210" i="1"/>
  <c r="D204" i="1"/>
  <c r="D198" i="1"/>
  <c r="D192" i="1"/>
  <c r="D186" i="1"/>
  <c r="D180" i="1"/>
  <c r="D174" i="1"/>
  <c r="G119" i="1"/>
  <c r="G125" i="1"/>
  <c r="G131" i="1"/>
  <c r="G149" i="1"/>
  <c r="G155" i="1"/>
  <c r="G161" i="1"/>
  <c r="G167" i="1"/>
  <c r="G173" i="1"/>
  <c r="G179" i="1"/>
  <c r="G185" i="1"/>
  <c r="G191" i="1"/>
  <c r="G197" i="1"/>
  <c r="B203" i="1" a="1"/>
  <c r="B203" i="1" s="1"/>
  <c r="B209" i="1" a="1"/>
  <c r="B209" i="1" s="1"/>
  <c r="B215" i="1" a="1"/>
  <c r="B215" i="1" s="1"/>
  <c r="B221" i="1" a="1"/>
  <c r="B221" i="1" s="1"/>
  <c r="B227" i="1" a="1"/>
  <c r="B227" i="1" s="1"/>
  <c r="C149" i="1"/>
  <c r="D161" i="1"/>
  <c r="C179" i="1"/>
  <c r="C185" i="1"/>
  <c r="D203" i="1"/>
  <c r="F221" i="1"/>
  <c r="H149" i="1"/>
  <c r="H155" i="1"/>
  <c r="H167" i="1"/>
  <c r="H191" i="1"/>
  <c r="G203" i="1"/>
  <c r="G209" i="1"/>
  <c r="G215" i="1"/>
  <c r="G221" i="1"/>
  <c r="G227" i="1"/>
  <c r="B233" i="1" a="1"/>
  <c r="B233" i="1" s="1"/>
  <c r="C167" i="1"/>
  <c r="C191" i="1"/>
  <c r="C209" i="1"/>
  <c r="C227" i="1"/>
  <c r="C233" i="1"/>
  <c r="C53" i="1"/>
  <c r="D42" i="1"/>
  <c r="H209" i="1"/>
  <c r="H215" i="1"/>
  <c r="H227" i="1"/>
  <c r="G233" i="1"/>
  <c r="D65" i="1"/>
  <c r="D53" i="1"/>
  <c r="D47" i="1"/>
  <c r="D35" i="1"/>
  <c r="D29" i="1"/>
  <c r="D11" i="1"/>
  <c r="F106" i="1"/>
  <c r="E62" i="1"/>
  <c r="F153" i="1"/>
  <c r="E66" i="1"/>
  <c r="F207" i="1"/>
  <c r="E23" i="1"/>
  <c r="E30" i="1"/>
  <c r="E34" i="1"/>
  <c r="D62" i="1"/>
  <c r="E48" i="1"/>
  <c r="E5" i="1"/>
  <c r="E19" i="1"/>
  <c r="E44" i="1"/>
  <c r="E45" i="1"/>
  <c r="D30" i="1"/>
  <c r="E97" i="1"/>
  <c r="F100" i="1"/>
  <c r="E168" i="1"/>
  <c r="E73" i="1"/>
  <c r="E221" i="1"/>
  <c r="E55" i="1"/>
  <c r="F182" i="1"/>
  <c r="F183" i="1"/>
  <c r="F185" i="1"/>
  <c r="F186" i="1"/>
  <c r="E37" i="1"/>
  <c r="F167" i="1"/>
  <c r="F168" i="1"/>
  <c r="E9" i="1"/>
  <c r="E12" i="1"/>
  <c r="E154" i="1"/>
  <c r="E8" i="1"/>
  <c r="E59" i="1"/>
  <c r="D45" i="1"/>
  <c r="D48" i="1"/>
  <c r="D44" i="1"/>
  <c r="D19" i="1"/>
  <c r="D23" i="1"/>
  <c r="D26" i="1"/>
  <c r="D66" i="1"/>
  <c r="D55" i="1"/>
  <c r="D37" i="1"/>
  <c r="D97" i="1"/>
  <c r="D156" i="1"/>
  <c r="D56" i="1"/>
  <c r="E56" i="1"/>
  <c r="D57" i="1"/>
  <c r="E57" i="1"/>
  <c r="D61" i="1"/>
  <c r="E61" i="1"/>
  <c r="D67" i="1"/>
  <c r="E67" i="1"/>
  <c r="D68" i="1"/>
  <c r="E68" i="1"/>
  <c r="D69" i="1"/>
  <c r="E69" i="1"/>
  <c r="D223" i="1"/>
  <c r="E223" i="1"/>
  <c r="D228" i="1"/>
  <c r="E228" i="1"/>
  <c r="D234" i="1"/>
  <c r="E234" i="1"/>
  <c r="D14" i="1"/>
  <c r="E14" i="1"/>
  <c r="D21" i="1"/>
  <c r="E21" i="1"/>
  <c r="D38" i="1"/>
  <c r="E38" i="1"/>
  <c r="D43" i="1"/>
  <c r="E43" i="1"/>
  <c r="D49" i="1"/>
  <c r="E49" i="1"/>
  <c r="D81" i="1"/>
  <c r="D84" i="1"/>
  <c r="D90" i="1"/>
  <c r="E94" i="1"/>
  <c r="E98" i="1"/>
  <c r="E102" i="1"/>
  <c r="E110" i="1"/>
  <c r="E114" i="1"/>
  <c r="E119" i="1"/>
  <c r="E123" i="1"/>
  <c r="E136" i="1"/>
  <c r="E145" i="1"/>
  <c r="E156" i="1"/>
  <c r="E160" i="1"/>
  <c r="E172" i="1"/>
  <c r="E173" i="1"/>
  <c r="E174" i="1"/>
  <c r="E175" i="1"/>
  <c r="E177" i="1"/>
  <c r="E178" i="1"/>
  <c r="E181" i="1"/>
  <c r="E184" i="1"/>
  <c r="E187" i="1"/>
  <c r="E188" i="1"/>
  <c r="E189" i="1"/>
  <c r="F189" i="1"/>
  <c r="E190" i="1"/>
  <c r="E191" i="1"/>
  <c r="E192" i="1"/>
  <c r="E193" i="1"/>
  <c r="E194" i="1"/>
  <c r="E195" i="1"/>
  <c r="E196" i="1"/>
  <c r="E197" i="1"/>
  <c r="E199" i="1"/>
  <c r="D183" i="1"/>
  <c r="E183" i="1"/>
  <c r="D7" i="1"/>
  <c r="E7" i="1"/>
  <c r="D20" i="1"/>
  <c r="E20" i="1"/>
  <c r="E180" i="1"/>
  <c r="D83" i="1"/>
  <c r="E83" i="1"/>
  <c r="D88" i="1"/>
  <c r="E88" i="1"/>
  <c r="E93" i="1"/>
  <c r="E101" i="1"/>
  <c r="E105" i="1"/>
  <c r="E109" i="1"/>
  <c r="E113" i="1"/>
  <c r="E117" i="1"/>
  <c r="E121" i="1"/>
  <c r="E126" i="1"/>
  <c r="E129" i="1"/>
  <c r="E135" i="1"/>
  <c r="E139" i="1"/>
  <c r="E150" i="1"/>
  <c r="E158" i="1"/>
  <c r="E162" i="1"/>
  <c r="E166" i="1"/>
  <c r="E171" i="1"/>
  <c r="E96" i="1"/>
  <c r="F98" i="1"/>
  <c r="D125" i="1"/>
  <c r="E167" i="1"/>
  <c r="E186" i="1"/>
  <c r="E235" i="1"/>
  <c r="E81" i="1"/>
  <c r="E82" i="1"/>
  <c r="E84" i="1"/>
  <c r="E85" i="1"/>
  <c r="F85" i="1"/>
  <c r="E86" i="1"/>
  <c r="E87" i="1"/>
  <c r="E89" i="1"/>
  <c r="E90" i="1"/>
  <c r="E91" i="1"/>
  <c r="E92" i="1"/>
  <c r="F92" i="1"/>
  <c r="D106" i="1"/>
  <c r="E106" i="1"/>
  <c r="D143" i="1"/>
  <c r="E143" i="1"/>
  <c r="D153" i="1"/>
  <c r="E153" i="1"/>
  <c r="D182" i="1"/>
  <c r="E182" i="1"/>
  <c r="D201" i="1"/>
  <c r="E201" i="1"/>
  <c r="D220" i="1"/>
  <c r="E220" i="1"/>
  <c r="D13" i="1"/>
  <c r="E13" i="1"/>
  <c r="D15" i="1"/>
  <c r="E15" i="1"/>
  <c r="D32" i="1"/>
  <c r="E32" i="1"/>
  <c r="D50" i="1"/>
  <c r="E50" i="1"/>
  <c r="E22" i="1"/>
  <c r="E29" i="1"/>
  <c r="D85" i="1"/>
  <c r="D87" i="1"/>
  <c r="D92" i="1"/>
  <c r="E99" i="1"/>
  <c r="E104" i="1"/>
  <c r="E108" i="1"/>
  <c r="E111" i="1"/>
  <c r="E116" i="1"/>
  <c r="E120" i="1"/>
  <c r="E125" i="1"/>
  <c r="E128" i="1"/>
  <c r="E131" i="1"/>
  <c r="E137" i="1"/>
  <c r="E141" i="1"/>
  <c r="E142" i="1"/>
  <c r="E152" i="1"/>
  <c r="E155" i="1"/>
  <c r="E159" i="1"/>
  <c r="E161" i="1"/>
  <c r="F161" i="1"/>
  <c r="E169" i="1"/>
  <c r="E35" i="1"/>
  <c r="E36" i="1"/>
  <c r="E46" i="1"/>
  <c r="E60" i="1"/>
  <c r="E124" i="1"/>
  <c r="D138" i="1"/>
  <c r="E204" i="1"/>
  <c r="E212" i="1"/>
  <c r="E217" i="1"/>
  <c r="D25" i="1"/>
  <c r="E25" i="1"/>
  <c r="D31" i="1"/>
  <c r="E31" i="1"/>
  <c r="D33" i="1"/>
  <c r="E33" i="1"/>
  <c r="D39" i="1"/>
  <c r="E39" i="1"/>
  <c r="D51" i="1"/>
  <c r="E51" i="1"/>
  <c r="D82" i="1"/>
  <c r="D86" i="1"/>
  <c r="D89" i="1"/>
  <c r="D91" i="1"/>
  <c r="E103" i="1"/>
  <c r="E107" i="1"/>
  <c r="E112" i="1"/>
  <c r="E115" i="1"/>
  <c r="E118" i="1"/>
  <c r="E122" i="1"/>
  <c r="E127" i="1"/>
  <c r="E130" i="1"/>
  <c r="E133" i="1"/>
  <c r="E134" i="1"/>
  <c r="E138" i="1"/>
  <c r="E140" i="1"/>
  <c r="F140" i="1"/>
  <c r="E144" i="1"/>
  <c r="E151" i="1"/>
  <c r="E157" i="1"/>
  <c r="E163" i="1"/>
  <c r="E170" i="1"/>
  <c r="E10" i="1"/>
  <c r="E24" i="1"/>
  <c r="E11" i="1"/>
  <c r="E40" i="1"/>
  <c r="E47" i="1"/>
  <c r="F118" i="1"/>
  <c r="E132" i="1"/>
  <c r="E200" i="1"/>
  <c r="E227" i="1"/>
  <c r="D95" i="1"/>
  <c r="E95" i="1"/>
  <c r="D100" i="1"/>
  <c r="E100" i="1"/>
  <c r="D146" i="1"/>
  <c r="E146" i="1"/>
  <c r="D147" i="1"/>
  <c r="E147" i="1"/>
  <c r="D164" i="1"/>
  <c r="E164" i="1"/>
  <c r="D165" i="1"/>
  <c r="E165" i="1"/>
  <c r="D176" i="1"/>
  <c r="E176" i="1"/>
  <c r="D179" i="1"/>
  <c r="E179" i="1"/>
  <c r="D185" i="1"/>
  <c r="E185" i="1"/>
  <c r="D222" i="1"/>
  <c r="E222" i="1"/>
  <c r="E149" i="1"/>
  <c r="E203" i="1"/>
  <c r="E207" i="1"/>
  <c r="C107" i="1"/>
  <c r="D107" i="1"/>
  <c r="C154" i="1"/>
  <c r="D154" i="1"/>
  <c r="E202" i="1"/>
  <c r="E205" i="1"/>
  <c r="E206" i="1"/>
  <c r="E208" i="1"/>
  <c r="E209" i="1"/>
  <c r="E210" i="1"/>
  <c r="E211" i="1"/>
  <c r="E213" i="1"/>
  <c r="E214" i="1"/>
  <c r="E215" i="1"/>
  <c r="E216" i="1"/>
  <c r="E218" i="1"/>
  <c r="E219" i="1"/>
  <c r="E224" i="1"/>
  <c r="E225" i="1"/>
  <c r="E226" i="1"/>
  <c r="E229" i="1"/>
  <c r="E230" i="1"/>
  <c r="E231" i="1"/>
  <c r="E232" i="1"/>
  <c r="E233" i="1"/>
  <c r="E236" i="1"/>
  <c r="F82" i="1"/>
  <c r="F86" i="1"/>
  <c r="F89" i="1"/>
  <c r="F93" i="1"/>
  <c r="F96" i="1"/>
  <c r="F102" i="1"/>
  <c r="F105" i="1"/>
  <c r="F109" i="1"/>
  <c r="F112" i="1"/>
  <c r="F115" i="1"/>
  <c r="F119" i="1"/>
  <c r="F123" i="1"/>
  <c r="F126" i="1"/>
  <c r="F128" i="1"/>
  <c r="F130" i="1"/>
  <c r="F133" i="1"/>
  <c r="F136" i="1"/>
  <c r="F139" i="1"/>
  <c r="F145" i="1"/>
  <c r="F150" i="1"/>
  <c r="F157" i="1"/>
  <c r="F160" i="1"/>
  <c r="F164" i="1"/>
  <c r="F171" i="1"/>
  <c r="F174" i="1"/>
  <c r="F178" i="1"/>
  <c r="F181" i="1"/>
  <c r="F187" i="1"/>
  <c r="F192" i="1"/>
  <c r="F195" i="1"/>
  <c r="F198" i="1"/>
  <c r="F202" i="1"/>
  <c r="F208" i="1"/>
  <c r="F211" i="1"/>
  <c r="F212" i="1"/>
  <c r="F215" i="1"/>
  <c r="F216" i="1"/>
  <c r="F217" i="1"/>
  <c r="F218" i="1"/>
  <c r="F219" i="1"/>
  <c r="F222" i="1"/>
  <c r="F223" i="1"/>
  <c r="F224" i="1"/>
  <c r="F226" i="1"/>
  <c r="F227" i="1"/>
  <c r="F228" i="1"/>
  <c r="F229" i="1"/>
  <c r="F230" i="1"/>
  <c r="F232" i="1"/>
  <c r="F233" i="1"/>
  <c r="F234" i="1"/>
  <c r="F235" i="1"/>
  <c r="F236" i="1"/>
  <c r="F83" i="1"/>
  <c r="F91" i="1"/>
  <c r="F94" i="1"/>
  <c r="F97" i="1"/>
  <c r="F101" i="1"/>
  <c r="F103" i="1"/>
  <c r="F107" i="1"/>
  <c r="F110" i="1"/>
  <c r="F114" i="1"/>
  <c r="F117" i="1"/>
  <c r="F121" i="1"/>
  <c r="F124" i="1"/>
  <c r="F127" i="1"/>
  <c r="F129" i="1"/>
  <c r="F131" i="1"/>
  <c r="F134" i="1"/>
  <c r="F137" i="1"/>
  <c r="F143" i="1"/>
  <c r="F147" i="1"/>
  <c r="F149" i="1"/>
  <c r="F152" i="1"/>
  <c r="F155" i="1"/>
  <c r="F158" i="1"/>
  <c r="F163" i="1"/>
  <c r="F169" i="1"/>
  <c r="F172" i="1"/>
  <c r="F175" i="1"/>
  <c r="F176" i="1"/>
  <c r="F179" i="1"/>
  <c r="F190" i="1"/>
  <c r="F193" i="1"/>
  <c r="F196" i="1"/>
  <c r="F200" i="1"/>
  <c r="F203" i="1"/>
  <c r="F205" i="1"/>
  <c r="F206" i="1"/>
  <c r="F209" i="1"/>
  <c r="F213" i="1"/>
  <c r="D221" i="1"/>
  <c r="E198" i="1"/>
  <c r="F81" i="1"/>
  <c r="F84" i="1"/>
  <c r="F87" i="1"/>
  <c r="F90" i="1"/>
  <c r="F95" i="1"/>
  <c r="F99" i="1"/>
  <c r="F104" i="1"/>
  <c r="F108" i="1"/>
  <c r="F111" i="1"/>
  <c r="F113" i="1"/>
  <c r="F116" i="1"/>
  <c r="F120" i="1"/>
  <c r="F122" i="1"/>
  <c r="F125" i="1"/>
  <c r="F132" i="1"/>
  <c r="F135" i="1"/>
  <c r="F138" i="1"/>
  <c r="F141" i="1"/>
  <c r="F144" i="1"/>
  <c r="F146" i="1"/>
  <c r="F148" i="1"/>
  <c r="F151" i="1"/>
  <c r="F156" i="1"/>
  <c r="F159" i="1"/>
  <c r="F162" i="1"/>
  <c r="F165" i="1"/>
  <c r="F166" i="1"/>
  <c r="F170" i="1"/>
  <c r="F173" i="1"/>
  <c r="F177" i="1"/>
  <c r="F180" i="1"/>
  <c r="F184" i="1"/>
  <c r="F188" i="1"/>
  <c r="F191" i="1"/>
  <c r="F194" i="1"/>
  <c r="F197" i="1"/>
  <c r="F201" i="1"/>
  <c r="F204" i="1"/>
  <c r="F210" i="1"/>
  <c r="F214" i="1"/>
  <c r="E74" i="1"/>
  <c r="D168" i="1"/>
  <c r="F23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<sst xmlns="http://schemas.openxmlformats.org/spreadsheetml/2006/main" count="4047" uniqueCount="2213">
  <si>
    <t>RECENT KEI RESEARCH PROJECTS</t>
    <phoneticPr fontId="2" type="noConversion"/>
  </si>
  <si>
    <t>Type</t>
    <phoneticPr fontId="2" type="noConversion"/>
  </si>
  <si>
    <t>Title</t>
    <phoneticPr fontId="2" type="noConversion"/>
  </si>
  <si>
    <t>PI</t>
    <phoneticPr fontId="2" type="noConversion"/>
  </si>
  <si>
    <t>Primary Focus</t>
    <phoneticPr fontId="2" type="noConversion"/>
  </si>
  <si>
    <t>Secondary Focus</t>
    <phoneticPr fontId="2" type="noConversion"/>
  </si>
  <si>
    <t>Project Start</t>
    <phoneticPr fontId="2" type="noConversion"/>
  </si>
  <si>
    <t>Project End</t>
    <phoneticPr fontId="2" type="noConversion"/>
  </si>
  <si>
    <t>No</t>
  </si>
  <si>
    <t>과제구분</t>
  </si>
  <si>
    <t>과제번호▲</t>
  </si>
  <si>
    <t>과제명</t>
  </si>
  <si>
    <t>주제어</t>
  </si>
  <si>
    <t>책임자사번코드</t>
  </si>
  <si>
    <t>책임자</t>
  </si>
  <si>
    <t>부서코드</t>
  </si>
  <si>
    <t>연구부서</t>
  </si>
  <si>
    <t>연구원 예산</t>
  </si>
  <si>
    <t>연구시작일</t>
  </si>
  <si>
    <t>연구종료일</t>
  </si>
  <si>
    <t>발주처</t>
  </si>
  <si>
    <t>1</t>
  </si>
  <si>
    <t>수탁과제</t>
  </si>
  <si>
    <t>2023-066</t>
  </si>
  <si>
    <t>단양 유네스코 세계지질공원 지정 추진 용역</t>
  </si>
  <si>
    <t>50018</t>
  </si>
  <si>
    <t>이수재</t>
  </si>
  <si>
    <t>201902192</t>
  </si>
  <si>
    <t>자연환경연구실</t>
  </si>
  <si>
    <t>단양군청</t>
  </si>
  <si>
    <t>2</t>
  </si>
  <si>
    <t>2023-067</t>
  </si>
  <si>
    <t>백령대청 유네스코 세계지질공원 인증 추진 용역</t>
  </si>
  <si>
    <t>202508192</t>
  </si>
  <si>
    <t>인천광역시</t>
  </si>
  <si>
    <t>3</t>
  </si>
  <si>
    <t>2023-111</t>
  </si>
  <si>
    <t>군산시 해상풍력 주민수용성 확보 및 이해관계자 역량 강화 용역</t>
  </si>
  <si>
    <t>10155</t>
  </si>
  <si>
    <t>조공장</t>
  </si>
  <si>
    <t>202508189</t>
  </si>
  <si>
    <t>생활환경사회연구실</t>
  </si>
  <si>
    <t>군산시청</t>
  </si>
  <si>
    <t>4</t>
  </si>
  <si>
    <t>2024-020</t>
  </si>
  <si>
    <t>과학 기반 자연환경복원 전과정 관리방안 연구</t>
  </si>
  <si>
    <t>10282</t>
  </si>
  <si>
    <t>손승우</t>
  </si>
  <si>
    <t>201902191</t>
  </si>
  <si>
    <t>환경부</t>
  </si>
  <si>
    <t>5</t>
  </si>
  <si>
    <t>2024-032</t>
  </si>
  <si>
    <t>아프리카돼지열병(ASF) 차단울타리 효과 분석 및 관리 개선방안 연구</t>
  </si>
  <si>
    <t>10300</t>
  </si>
  <si>
    <t>구경아</t>
  </si>
  <si>
    <t>6</t>
  </si>
  <si>
    <t>2024-036(R)</t>
  </si>
  <si>
    <t>딥러닝 기반 생물다양성 예측 및 리질리언스 평가 기술 개발(4차년도)</t>
  </si>
  <si>
    <t>10346</t>
  </si>
  <si>
    <t>최유영</t>
  </si>
  <si>
    <t>201902164</t>
  </si>
  <si>
    <t>공공인프라평가실</t>
  </si>
  <si>
    <t>한국연구재단</t>
  </si>
  <si>
    <t>7</t>
  </si>
  <si>
    <t>2024-039(R)</t>
  </si>
  <si>
    <t>홍수피해 유형화 기반 취약지역 평가 및 피해액 추정 모형 개발 연구(2차년도)</t>
  </si>
  <si>
    <t>10333</t>
  </si>
  <si>
    <t>정기철</t>
  </si>
  <si>
    <t>201902175</t>
  </si>
  <si>
    <t>성과관리팀</t>
  </si>
  <si>
    <t>8</t>
  </si>
  <si>
    <t>2024-040</t>
  </si>
  <si>
    <t>필리핀 도시 기후회복력 역량강화 사업 PMC 용역</t>
  </si>
  <si>
    <t>10166</t>
  </si>
  <si>
    <t>조한나</t>
  </si>
  <si>
    <t>202508123</t>
  </si>
  <si>
    <t>기후적응협력실</t>
  </si>
  <si>
    <t>한국국제협력단</t>
  </si>
  <si>
    <t>9</t>
  </si>
  <si>
    <t>2024-043</t>
  </si>
  <si>
    <t>국토환경 녹색복원 후보목록 2차년도 조사연구</t>
  </si>
  <si>
    <t>10</t>
  </si>
  <si>
    <t>2024-045</t>
  </si>
  <si>
    <t>AI기반 습지경계 자동분류 학습데이터 구축</t>
  </si>
  <si>
    <t>10162</t>
  </si>
  <si>
    <t>이명진</t>
  </si>
  <si>
    <t>11</t>
  </si>
  <si>
    <t>2024-048</t>
  </si>
  <si>
    <t>신재생에너지 환경성평가 방안 연구</t>
  </si>
  <si>
    <t>10227</t>
  </si>
  <si>
    <t>김태윤</t>
  </si>
  <si>
    <t>201902165</t>
  </si>
  <si>
    <t>환경부 환경영향평가과</t>
  </si>
  <si>
    <t>12</t>
  </si>
  <si>
    <t>2024-053</t>
  </si>
  <si>
    <t>물분야 국제협력 활성화 연구(Ⅰ)</t>
  </si>
  <si>
    <t>10184</t>
  </si>
  <si>
    <t>김익재</t>
  </si>
  <si>
    <t>201902190</t>
  </si>
  <si>
    <t>통합물관리연구실</t>
  </si>
  <si>
    <t>13</t>
  </si>
  <si>
    <t>2024-054</t>
  </si>
  <si>
    <t>2024년 환경관련 조세 및 세입계정 통계 작성</t>
  </si>
  <si>
    <t>10228</t>
  </si>
  <si>
    <t>강성원</t>
  </si>
  <si>
    <t>201902200</t>
  </si>
  <si>
    <t>14</t>
  </si>
  <si>
    <t>2024-055</t>
  </si>
  <si>
    <t>익산왕궁 자연환경복원사업 기본계획 및 예비타당성조사 대응방안 연구용역</t>
  </si>
  <si>
    <t>전북특별자치도</t>
  </si>
  <si>
    <t>15</t>
  </si>
  <si>
    <t>2024-056</t>
  </si>
  <si>
    <t>국가검진자료-대기노출량 연계빅데이터를 활용한 질병발생영향분석 및 연구용 DATA 공개</t>
  </si>
  <si>
    <t>질병관리청 국립보건연구원</t>
  </si>
  <si>
    <t>16</t>
  </si>
  <si>
    <t>2024-061</t>
  </si>
  <si>
    <t>환경분야 국제개발협력사업 관련 규정 제개정안 마련 연구</t>
  </si>
  <si>
    <t>10185</t>
  </si>
  <si>
    <t>명수정</t>
  </si>
  <si>
    <t>17</t>
  </si>
  <si>
    <t>2024-062</t>
  </si>
  <si>
    <t>2023년 기준 환경보호지출계정 편제</t>
  </si>
  <si>
    <t>10139</t>
  </si>
  <si>
    <t>김종호</t>
  </si>
  <si>
    <t>환경부 녹색기술개발과</t>
  </si>
  <si>
    <t>18</t>
  </si>
  <si>
    <t>2024-068</t>
  </si>
  <si>
    <t>탄소중립 기술정보 종합 및 활용기반 구축 -에너지 부문(전환·산업·수송·건물)</t>
  </si>
  <si>
    <t>10327</t>
  </si>
  <si>
    <t>김성진</t>
  </si>
  <si>
    <t>201902197</t>
  </si>
  <si>
    <t>탄소중립연구실</t>
  </si>
  <si>
    <t>환경부 온실가스종합정보센터</t>
  </si>
  <si>
    <t>19</t>
  </si>
  <si>
    <t>2024-071</t>
  </si>
  <si>
    <t>이차전지 산업폐수의 공공폐수처리시설 적정 처리방안 연구</t>
  </si>
  <si>
    <t>10189</t>
  </si>
  <si>
    <t>한대호</t>
  </si>
  <si>
    <t>한국환경공단</t>
  </si>
  <si>
    <t>20</t>
  </si>
  <si>
    <t>2024-072</t>
  </si>
  <si>
    <t>도시의 개발사업 등 관련 환경영향평가 개선방안 마련 연구</t>
  </si>
  <si>
    <t>10249</t>
  </si>
  <si>
    <t>이영재</t>
  </si>
  <si>
    <t>201902163</t>
  </si>
  <si>
    <t>국토정책평가실</t>
  </si>
  <si>
    <t>환경부 국토환경정책과</t>
  </si>
  <si>
    <t>21</t>
  </si>
  <si>
    <t>2024-074</t>
  </si>
  <si>
    <t>산업폐수관리 개선방안 마련 연구</t>
  </si>
  <si>
    <t>22</t>
  </si>
  <si>
    <t>2024-075</t>
  </si>
  <si>
    <t>2024년 녹색화학 협의체 운영 등 기반구축 사업</t>
  </si>
  <si>
    <t>10236</t>
  </si>
  <si>
    <t>서양원</t>
  </si>
  <si>
    <t>201902119</t>
  </si>
  <si>
    <t>환경보건연구실</t>
  </si>
  <si>
    <t>환경부 화학물질정책과</t>
  </si>
  <si>
    <t>23</t>
  </si>
  <si>
    <t>2024-080</t>
  </si>
  <si>
    <t>2025년도 전기차 차종별 보조금 지급체계 개편 연구</t>
  </si>
  <si>
    <t>10344</t>
  </si>
  <si>
    <t>이정은</t>
  </si>
  <si>
    <t>환경부 대기미래전략과</t>
  </si>
  <si>
    <t>24</t>
  </si>
  <si>
    <t>2024-081</t>
  </si>
  <si>
    <t>환경관리 고도화를 위한 환경정책 발전방안 연구</t>
  </si>
  <si>
    <t>10132</t>
  </si>
  <si>
    <t>박창석</t>
  </si>
  <si>
    <t>25</t>
  </si>
  <si>
    <t>2024-082</t>
  </si>
  <si>
    <t>한국형 탄소중립도시 지정 및 제도 마련 연구</t>
  </si>
  <si>
    <t>환경부 녹색전환정책과</t>
  </si>
  <si>
    <t>26</t>
  </si>
  <si>
    <t>2024-084</t>
  </si>
  <si>
    <t>소록도 자연가치 등의 보전ㆍ활용을 위한 마스터플랜 수립 연구</t>
  </si>
  <si>
    <t>27</t>
  </si>
  <si>
    <t>2024-085</t>
  </si>
  <si>
    <t>세계 생물다양성 프레임워크 이행을 위한 유전자 다양성 국가지표(안) 마련(1차년도)</t>
  </si>
  <si>
    <t>국립생물자원관</t>
  </si>
  <si>
    <t>28</t>
  </si>
  <si>
    <t>2024-086</t>
  </si>
  <si>
    <t>수자원위성 활용기술 개발(Ⅱ)(1차)</t>
  </si>
  <si>
    <t>K-water 연구원</t>
  </si>
  <si>
    <t>29</t>
  </si>
  <si>
    <t>2024-087</t>
  </si>
  <si>
    <t>해수담수화 활성화를 위한 제도 및 정책방향 연구 용역(2차년도)</t>
  </si>
  <si>
    <t>10205</t>
  </si>
  <si>
    <t>강형식</t>
  </si>
  <si>
    <t>한국수자원공사</t>
  </si>
  <si>
    <t>30</t>
  </si>
  <si>
    <t>2024-088</t>
  </si>
  <si>
    <t>SDGs 이행 제고를 위한 환경분야 전략수립 연구</t>
  </si>
  <si>
    <t>10292</t>
  </si>
  <si>
    <t>김현노</t>
  </si>
  <si>
    <t>31</t>
  </si>
  <si>
    <t>2024-089</t>
  </si>
  <si>
    <t>생물다양성협약 쿤밍-몬트리올 GBF 이행동향 분석 및 대응 방안 연구(II)</t>
  </si>
  <si>
    <t>32</t>
  </si>
  <si>
    <t>2024-090</t>
  </si>
  <si>
    <t>배출허용기준 관리 개선방안 마련 연구</t>
  </si>
  <si>
    <t>50021</t>
  </si>
  <si>
    <t>공성용</t>
  </si>
  <si>
    <t>201902187</t>
  </si>
  <si>
    <t>대기환경연구실</t>
  </si>
  <si>
    <t>국립환경과학원</t>
  </si>
  <si>
    <t>33</t>
  </si>
  <si>
    <t>2024-091</t>
  </si>
  <si>
    <t xml:space="preserve">제2차 물 재이용 기본계획 타당성 검토 및 변경 수립 연구 </t>
  </si>
  <si>
    <t>10318</t>
  </si>
  <si>
    <t>이문환</t>
  </si>
  <si>
    <t>202508190</t>
  </si>
  <si>
    <t>물관리연구실</t>
  </si>
  <si>
    <t>34</t>
  </si>
  <si>
    <t>2024-093</t>
  </si>
  <si>
    <t>제5차 국가환경종합계획(2020-2040) 수정계획 수립 연구(I)</t>
  </si>
  <si>
    <t>35</t>
  </si>
  <si>
    <t>2024-094</t>
  </si>
  <si>
    <t>탄소중립을 위한 개발사업의 탄소총량제 도입방안 연구</t>
  </si>
  <si>
    <t>10084</t>
  </si>
  <si>
    <t>윤정호,손승우</t>
  </si>
  <si>
    <t>202508205</t>
  </si>
  <si>
    <t>국토관리연구실</t>
  </si>
  <si>
    <t>재단법인 경기연구원</t>
  </si>
  <si>
    <t>36</t>
  </si>
  <si>
    <t>2024-096</t>
  </si>
  <si>
    <t>제1차 국가물관리기본계획 타당성 검토 및 변경계획안 마련 연구(I)</t>
  </si>
  <si>
    <t>10203</t>
  </si>
  <si>
    <t>한혜진</t>
  </si>
  <si>
    <t>37</t>
  </si>
  <si>
    <t>2024-097</t>
  </si>
  <si>
    <t>제3차 국가 물환경관리기본계획 수립</t>
  </si>
  <si>
    <t>10214</t>
  </si>
  <si>
    <t>김호정</t>
  </si>
  <si>
    <t>환경부 물환경정책과</t>
  </si>
  <si>
    <t>38</t>
  </si>
  <si>
    <t>2024-098</t>
  </si>
  <si>
    <t>실내환경관리센터 발전방안 마련 연구</t>
  </si>
  <si>
    <t>10297</t>
  </si>
  <si>
    <t>정다운</t>
  </si>
  <si>
    <t>환경부 생활환경과</t>
  </si>
  <si>
    <t>39</t>
  </si>
  <si>
    <t>2024-099(R)</t>
  </si>
  <si>
    <t>2차 미세플라스틱 환경오염 문제해결을 위한 융합솔루션 개발(5차년도)</t>
  </si>
  <si>
    <t>10065</t>
  </si>
  <si>
    <t>박정규</t>
  </si>
  <si>
    <t>안전성평가연구소</t>
  </si>
  <si>
    <t>40</t>
  </si>
  <si>
    <t>2024-100</t>
  </si>
  <si>
    <t>생태계서비스 활성화 촉진을 위한 구역(지역)화 추진방안 마련 연구</t>
  </si>
  <si>
    <t>10186</t>
  </si>
  <si>
    <t>최희선</t>
  </si>
  <si>
    <t>41</t>
  </si>
  <si>
    <t>2024-101</t>
  </si>
  <si>
    <t>석탄화력발전소 주변지역 환경보건평가-종합평가</t>
  </si>
  <si>
    <t>10211</t>
  </si>
  <si>
    <t>배현주</t>
  </si>
  <si>
    <t>202508119</t>
  </si>
  <si>
    <t>42</t>
  </si>
  <si>
    <t>2024-102</t>
  </si>
  <si>
    <t>차등화된 환경영향평가체계 마련 연구(1차)</t>
  </si>
  <si>
    <t>10290</t>
  </si>
  <si>
    <t>양경</t>
  </si>
  <si>
    <t>43</t>
  </si>
  <si>
    <t>2024-103</t>
  </si>
  <si>
    <t>유독물질 지정관리체계 개편을 위한 취급시설 기준 및 규정수량 규제영향분석 연구</t>
  </si>
  <si>
    <t>10191</t>
  </si>
  <si>
    <t>신상철</t>
  </si>
  <si>
    <t>202508204</t>
  </si>
  <si>
    <t>순환경제연구실</t>
  </si>
  <si>
    <t>화학물질안전원</t>
  </si>
  <si>
    <t>44</t>
  </si>
  <si>
    <t>2024-104</t>
  </si>
  <si>
    <t>아태지역의 플라스틱 오염 문제 해결을 위한 국가 전략 및 계획 분석(Analysis of National Strategies and Plans for Addressing Plastic Pollution in the Asia-Pacific Region)</t>
  </si>
  <si>
    <t>10273</t>
  </si>
  <si>
    <t>이소라</t>
  </si>
  <si>
    <t>UNEP</t>
  </si>
  <si>
    <t>45</t>
  </si>
  <si>
    <t>2024-105</t>
  </si>
  <si>
    <t>국가 온실가스 장기 감축경로 마련을 위한 연구</t>
  </si>
  <si>
    <t>환경부 기후전략과</t>
  </si>
  <si>
    <t>46</t>
  </si>
  <si>
    <t>2024-106</t>
  </si>
  <si>
    <t>통합환경관리 대상업종 확대 검토</t>
  </si>
  <si>
    <t>47</t>
  </si>
  <si>
    <t>2024-107</t>
  </si>
  <si>
    <t>상수원 관리 고도화를 위한 환경관리기술 적용 분석</t>
  </si>
  <si>
    <t>10319</t>
  </si>
  <si>
    <t>전동진</t>
  </si>
  <si>
    <t>48</t>
  </si>
  <si>
    <t>2024-108</t>
  </si>
  <si>
    <t>수도사업 체계 정교화를 위한 수도법 정비방안 연구</t>
  </si>
  <si>
    <t>10254</t>
  </si>
  <si>
    <t>류재나</t>
  </si>
  <si>
    <t>49</t>
  </si>
  <si>
    <t>2024-109</t>
  </si>
  <si>
    <t>수도용 자재와 제품에 대한 인증제도 개선방안 마련 연구</t>
  </si>
  <si>
    <t>50</t>
  </si>
  <si>
    <t>2024-110</t>
  </si>
  <si>
    <t>지속가능발전 국가기본전략(26-45) 수립</t>
  </si>
  <si>
    <t>10220</t>
  </si>
  <si>
    <t>정우현</t>
  </si>
  <si>
    <t>국무조정실</t>
  </si>
  <si>
    <t>51</t>
  </si>
  <si>
    <t>2025-001</t>
  </si>
  <si>
    <t>2025년 기후위기적응 민간대행사업</t>
  </si>
  <si>
    <t>10210</t>
  </si>
  <si>
    <t>정휘철</t>
  </si>
  <si>
    <t>202508168</t>
  </si>
  <si>
    <t>국가기후위기적응센터</t>
  </si>
  <si>
    <t>환경부 기후적응과</t>
  </si>
  <si>
    <t>52</t>
  </si>
  <si>
    <t>2025-001-01</t>
  </si>
  <si>
    <t>국가 기후위기 적응대책 수립 및 주류화 지원</t>
  </si>
  <si>
    <t>10158</t>
  </si>
  <si>
    <t>신지영</t>
  </si>
  <si>
    <t>202508124</t>
  </si>
  <si>
    <t>기후적응정책실</t>
  </si>
  <si>
    <t>53</t>
  </si>
  <si>
    <t>2025-001-02</t>
  </si>
  <si>
    <t>지자체 기후 적응 및 취약성 개선</t>
  </si>
  <si>
    <t>10323</t>
  </si>
  <si>
    <t>박진한</t>
  </si>
  <si>
    <t>54</t>
  </si>
  <si>
    <t>2025-001-03</t>
  </si>
  <si>
    <t>적응 주체별 적응역량 강화</t>
  </si>
  <si>
    <t>55</t>
  </si>
  <si>
    <t>2025-001-04</t>
  </si>
  <si>
    <t>국내외 적응 협력 및 확산</t>
  </si>
  <si>
    <t>56</t>
  </si>
  <si>
    <t>2025-001-05</t>
  </si>
  <si>
    <t>총괄 및 적응정책 연구</t>
  </si>
  <si>
    <t>57</t>
  </si>
  <si>
    <t>2025-002</t>
  </si>
  <si>
    <t>DM 프로젝트(3차년도)</t>
  </si>
  <si>
    <t>10317</t>
  </si>
  <si>
    <t>이승수</t>
  </si>
  <si>
    <t>미래과학아카데미</t>
  </si>
  <si>
    <t>58</t>
  </si>
  <si>
    <t>2025-003</t>
  </si>
  <si>
    <t>2025년 국토환경성평가지도 구축·운영 사업</t>
  </si>
  <si>
    <t>윤정호</t>
  </si>
  <si>
    <t>59</t>
  </si>
  <si>
    <t>2025-004</t>
  </si>
  <si>
    <t>KOICA 기후주류화 전략 및 액션플랜 수립을 위한 컨설팅 용역(2차)</t>
  </si>
  <si>
    <t>10252</t>
  </si>
  <si>
    <t>장훈</t>
  </si>
  <si>
    <t>202508199</t>
  </si>
  <si>
    <t>기후대기전략연구본부</t>
  </si>
  <si>
    <t>60</t>
  </si>
  <si>
    <t>2025-005(R)</t>
  </si>
  <si>
    <t>습지생태계 서비스 및 가치평가 정량화 기술개발(4차년도)</t>
  </si>
  <si>
    <t>202508095</t>
  </si>
  <si>
    <t>녹색경제연구실</t>
  </si>
  <si>
    <t xml:space="preserve">한국환경산업기술원 </t>
  </si>
  <si>
    <t>61</t>
  </si>
  <si>
    <t>2025-006(R)</t>
  </si>
  <si>
    <t>공공주도 해상풍력 적합입지 발굴 연구(2차년도)</t>
  </si>
  <si>
    <t>한국에너지공단</t>
  </si>
  <si>
    <t>62</t>
  </si>
  <si>
    <t>2025-007(R)</t>
  </si>
  <si>
    <t>WMO IG³IS 이행사업 개선(2차년도)</t>
  </si>
  <si>
    <t>10348</t>
  </si>
  <si>
    <t>한지현,심창섭</t>
  </si>
  <si>
    <t>202508187</t>
  </si>
  <si>
    <t>한국기상산업기술원</t>
  </si>
  <si>
    <t>63</t>
  </si>
  <si>
    <t>2025-008(R)</t>
  </si>
  <si>
    <t>AI 기반 해양수색구조 의사결정지원시스템 개발(4차년도)</t>
  </si>
  <si>
    <t>10257</t>
  </si>
  <si>
    <t>김충기</t>
  </si>
  <si>
    <t>해양수산과학기술진흥원</t>
  </si>
  <si>
    <t>64</t>
  </si>
  <si>
    <t>2025-009(R)</t>
  </si>
  <si>
    <t>기후변화 적응을 위한 의사결정형 통합 영향평가 플랫폼 기반 구축 및 활용기술개발(4차년도)</t>
  </si>
  <si>
    <t>50026</t>
  </si>
  <si>
    <t>송영일</t>
  </si>
  <si>
    <t>65</t>
  </si>
  <si>
    <t>2025-009(R)-01</t>
  </si>
  <si>
    <t>의사결정 지원을 위한 적응대책 선정 및 리스크 저감효과 진단 모듈 개발</t>
  </si>
  <si>
    <t>66</t>
  </si>
  <si>
    <t>2025-009(R)-02</t>
  </si>
  <si>
    <t>지역기반 물관리 기후변화 영향 및 리스크 평가 시스템 개발</t>
  </si>
  <si>
    <t>10193</t>
  </si>
  <si>
    <t>안종호</t>
  </si>
  <si>
    <t>67</t>
  </si>
  <si>
    <t>2025-010(R)</t>
  </si>
  <si>
    <t>탄소중립 이행을 위한 글로벌 전력부문 모형 개발(4차년도)</t>
  </si>
  <si>
    <t>68</t>
  </si>
  <si>
    <t>2025-011(R)</t>
  </si>
  <si>
    <t>도시공간 기후탄력성 확보 기술 평가 및 의사결정지원 시스템 개발(4차년도)</t>
  </si>
  <si>
    <t>69</t>
  </si>
  <si>
    <t>2025-012(R)</t>
  </si>
  <si>
    <t>생활화학제품 함유 혼합물 대상 인체 복합 유해성 평가용 AOP기반 통합시험평가접근법(ITS/IATA) 개발(3차년도)</t>
  </si>
  <si>
    <t>70</t>
  </si>
  <si>
    <t>2025-013(R)</t>
  </si>
  <si>
    <t>물부족 피해분석 및 물공급의 사회/경제적 가치 평가 기술 개발과 활용방안(3차년도)</t>
  </si>
  <si>
    <t>71</t>
  </si>
  <si>
    <t>2025-014(R)</t>
  </si>
  <si>
    <t>탄소공간지도기반 계획지원 기술개발(3차년도)</t>
  </si>
  <si>
    <t>10281</t>
  </si>
  <si>
    <t>김근한</t>
  </si>
  <si>
    <t>국토교통과학기술진흥원</t>
  </si>
  <si>
    <t>72</t>
  </si>
  <si>
    <t>2025-015(R)</t>
  </si>
  <si>
    <t>습지생태계 기후변화 대응 평가·예측관리 기술 개발(4차년도)</t>
  </si>
  <si>
    <t>73</t>
  </si>
  <si>
    <t>2025-016</t>
  </si>
  <si>
    <t xml:space="preserve">수자원 위성 활용기술 개발(Ⅱ)(2차) </t>
  </si>
  <si>
    <t>30056</t>
  </si>
  <si>
    <t>이선민</t>
  </si>
  <si>
    <t>202508206</t>
  </si>
  <si>
    <t>사회기반평가실</t>
  </si>
  <si>
    <t>74</t>
  </si>
  <si>
    <t>2025-017(R)</t>
  </si>
  <si>
    <t>AI 기반 도시침수 피해 위험도 예측 및 평가 실용화 기술 개발(2차년도)</t>
  </si>
  <si>
    <t>한국산업기술기획평가원</t>
  </si>
  <si>
    <t>75</t>
  </si>
  <si>
    <t>2025-018(R)</t>
  </si>
  <si>
    <t>생태계서비스를 고려한 탄소흡수원 통합관리 플랫폼 기술개발(3차년도)</t>
  </si>
  <si>
    <t>76</t>
  </si>
  <si>
    <t>2025-019(R)</t>
  </si>
  <si>
    <t>해양산업시설 배출 위험유해물질 영향평가 및 관리기술 개발(5차년도)</t>
  </si>
  <si>
    <t>202508165</t>
  </si>
  <si>
    <t>기후에너지평가실</t>
  </si>
  <si>
    <t>77</t>
  </si>
  <si>
    <t>2025-020(R)</t>
  </si>
  <si>
    <t>관측기반 온실가스 공간정보지도 구축 플랫폼 기술개발(3차년도)</t>
  </si>
  <si>
    <t>10260</t>
  </si>
  <si>
    <t>이승민</t>
  </si>
  <si>
    <t>78</t>
  </si>
  <si>
    <t>2025-021(R)</t>
  </si>
  <si>
    <t>지역 맞춤형 초미세먼지 관리체계 개발(6차년도)</t>
  </si>
  <si>
    <t>79</t>
  </si>
  <si>
    <t>2025-022</t>
  </si>
  <si>
    <t>섬진강 하류 재첩 서식환경 실증조사 연구(2차)</t>
  </si>
  <si>
    <t>10343</t>
  </si>
  <si>
    <t>백동해</t>
  </si>
  <si>
    <t>202508163</t>
  </si>
  <si>
    <t>국토전략평가실</t>
  </si>
  <si>
    <t>영산강유역환경청</t>
  </si>
  <si>
    <t>80</t>
  </si>
  <si>
    <t>2025-023</t>
  </si>
  <si>
    <t>제1차 국가물관리기본계획 2024년도 이행상황 평가</t>
  </si>
  <si>
    <t>81</t>
  </si>
  <si>
    <t>2025-024</t>
  </si>
  <si>
    <t>국가물순환촉진기본방침 수립 및 실태조사 연구</t>
  </si>
  <si>
    <t>82</t>
  </si>
  <si>
    <t>2025-025</t>
  </si>
  <si>
    <t>환경영향평가 제도개선 포럼 운영</t>
  </si>
  <si>
    <t>10289</t>
  </si>
  <si>
    <t>김경호</t>
  </si>
  <si>
    <t>83</t>
  </si>
  <si>
    <t>2025-026</t>
  </si>
  <si>
    <t>국가 온실가스 장기 감축경로 마련을 위한 연구(2차)</t>
  </si>
  <si>
    <t>202508197</t>
  </si>
  <si>
    <t>84</t>
  </si>
  <si>
    <t>2025-027(R)</t>
  </si>
  <si>
    <t>탁수의 수생태 영향 평가 및 예측 기술 개발(5차년도)</t>
  </si>
  <si>
    <t>10356</t>
  </si>
  <si>
    <t>최미경</t>
  </si>
  <si>
    <t>85</t>
  </si>
  <si>
    <t>2025-028(R)</t>
  </si>
  <si>
    <t>유역환경변화를 고려한 생태유량 취약성 평가 및 수질-수문-수생태 연계기술 개발(6차년도)</t>
  </si>
  <si>
    <t>202508182</t>
  </si>
  <si>
    <t>국토환경연구본부</t>
  </si>
  <si>
    <t>한국환경산업기술원</t>
  </si>
  <si>
    <t>86</t>
  </si>
  <si>
    <t>2025-029</t>
  </si>
  <si>
    <t>차등화된 환경영향평가체계 마련 연구(2차)</t>
  </si>
  <si>
    <t>87</t>
  </si>
  <si>
    <t>2025-030(R)</t>
  </si>
  <si>
    <t>글로벌 탄소중립 선도도시 도약을 위한 해수이용 친환경 에너지저장 핵심기술개발(4차년도)</t>
  </si>
  <si>
    <t>연구개발특구진흥재단</t>
  </si>
  <si>
    <t>88</t>
  </si>
  <si>
    <t>2025-031(R)</t>
  </si>
  <si>
    <t>하천의 물리적 환경변화 고려 하천종단 수자원시설의 치수안전도 평가 기술개발(2차년도)</t>
  </si>
  <si>
    <t>89</t>
  </si>
  <si>
    <t>2025-032(R)</t>
  </si>
  <si>
    <t>기후변화 대응을 위한 농축산부문 2030 NDC 온실가스 감축 이행 평가(2차년도)</t>
  </si>
  <si>
    <t>농촌진흥청</t>
  </si>
  <si>
    <t>90</t>
  </si>
  <si>
    <t>2025-033</t>
  </si>
  <si>
    <t>무탄소 전원 환경성평가 방안 연구</t>
  </si>
  <si>
    <t>91</t>
  </si>
  <si>
    <t>2025-034</t>
  </si>
  <si>
    <t>환경성보장제 운영을 위한 전기·전자제품 분류 및 분석</t>
  </si>
  <si>
    <t>92</t>
  </si>
  <si>
    <t>2025-035(R)</t>
  </si>
  <si>
    <t>홍수피해 유형화 기반 취약지역 평가 및 피해액 추정 모형 개발 연구(3차년도)</t>
  </si>
  <si>
    <t>93</t>
  </si>
  <si>
    <t>2025-036</t>
  </si>
  <si>
    <t>전북 서해안 세계지질공원 재검증 및 확대 인증 용역</t>
  </si>
  <si>
    <t>94</t>
  </si>
  <si>
    <t>2025-037</t>
  </si>
  <si>
    <t>제5차 소음·진동관리종합계획 수립 연구</t>
  </si>
  <si>
    <t>10337</t>
  </si>
  <si>
    <t>박태호</t>
  </si>
  <si>
    <t>95</t>
  </si>
  <si>
    <t>2025-038</t>
  </si>
  <si>
    <t>국토-환경계획 통합관리 이행 고도화 및 시범사업 운영</t>
  </si>
  <si>
    <t>10283</t>
  </si>
  <si>
    <t>송지윤</t>
  </si>
  <si>
    <t>96</t>
  </si>
  <si>
    <t>2025-039</t>
  </si>
  <si>
    <t>협의권한 지방이양 특례 운영성과 평가 연구(환경영향평가, 자연경관영향협의 부문)</t>
  </si>
  <si>
    <t>10245</t>
  </si>
  <si>
    <t>이상윤</t>
  </si>
  <si>
    <t>202508207</t>
  </si>
  <si>
    <t>환경자원평가실</t>
  </si>
  <si>
    <t>97</t>
  </si>
  <si>
    <t>2025-040</t>
  </si>
  <si>
    <t>국토환경 녹색복원 후보목록 3차년도 조사연구</t>
  </si>
  <si>
    <t>98</t>
  </si>
  <si>
    <t>2025-041</t>
  </si>
  <si>
    <t>빛공해 방지법 미적용 조명 관리방안 마련 연구</t>
  </si>
  <si>
    <t>10152</t>
  </si>
  <si>
    <t>이상범</t>
  </si>
  <si>
    <t>202508102</t>
  </si>
  <si>
    <t>환경평가본부</t>
  </si>
  <si>
    <t>99</t>
  </si>
  <si>
    <t>2025-042(R)</t>
  </si>
  <si>
    <t>딥러닝 기반 생물다양성 예측 및 리질리언스 평가 기술 개발(5차년도)</t>
  </si>
  <si>
    <t>100</t>
  </si>
  <si>
    <t>2025-043</t>
  </si>
  <si>
    <t>협의권한 지방이양 특례 운영성과 평가 연구(기후변화영향평가 부문)</t>
  </si>
  <si>
    <t>101</t>
  </si>
  <si>
    <t>2025-044</t>
  </si>
  <si>
    <t>발전부문 BM기반 사전할당에 따른 영향분석 연구</t>
  </si>
  <si>
    <t>10334</t>
  </si>
  <si>
    <t>최형식</t>
  </si>
  <si>
    <t>환경부 기후경제과</t>
  </si>
  <si>
    <t>102</t>
  </si>
  <si>
    <t>2025-045</t>
  </si>
  <si>
    <t>국가생물다양성전략 이행점검을 위한 지표 개발 연구(2차년도)</t>
  </si>
  <si>
    <t>103</t>
  </si>
  <si>
    <t>2025-046</t>
  </si>
  <si>
    <t>녹색산업계정 시범편제 연구</t>
  </si>
  <si>
    <t>104</t>
  </si>
  <si>
    <t>2025-047</t>
  </si>
  <si>
    <t>조류생태보전과 항공안전의 공존을 위한 공항 조류 충돌 예방 및 관리 강화방안 마련 연구</t>
  </si>
  <si>
    <t>10304</t>
  </si>
  <si>
    <t>이후승</t>
  </si>
  <si>
    <t>105</t>
  </si>
  <si>
    <t>2025-048</t>
  </si>
  <si>
    <t>환경영향평가등 평가준비서 디지털 표준화 연구</t>
  </si>
  <si>
    <t>10291</t>
  </si>
  <si>
    <t>지민규</t>
  </si>
  <si>
    <t>106</t>
  </si>
  <si>
    <t>2025-049</t>
  </si>
  <si>
    <t>지자체 환경계획 승인 체계 마련 연구</t>
  </si>
  <si>
    <t>최희선,이지영</t>
  </si>
  <si>
    <t>107</t>
  </si>
  <si>
    <t>2025-050</t>
  </si>
  <si>
    <t>제1차 미세먼지 관리 종합계획 최종평가 및 제2차 종합계획 평가 기반 마련 연구</t>
  </si>
  <si>
    <t>한지현</t>
  </si>
  <si>
    <t>108</t>
  </si>
  <si>
    <t>2025-051</t>
  </si>
  <si>
    <t>가습기살균제 집단합의 관련 연구</t>
  </si>
  <si>
    <t>202508178</t>
  </si>
  <si>
    <t>지속가능발전연구본부</t>
  </si>
  <si>
    <t>109</t>
  </si>
  <si>
    <t>2025-052</t>
  </si>
  <si>
    <t>대기환경관리 기본계획(4개권역) 추진실적 평가 연구</t>
  </si>
  <si>
    <t>환경부 수도권대기환경청</t>
  </si>
  <si>
    <t>110</t>
  </si>
  <si>
    <t>2025-053</t>
  </si>
  <si>
    <t>환경보건정보 빅데이터 분야 환경보건센터(1차년도)</t>
  </si>
  <si>
    <t>환경부 환경보건정책과</t>
  </si>
  <si>
    <t>111</t>
  </si>
  <si>
    <t>2025-054</t>
  </si>
  <si>
    <t>해양오염사고의 패러다임 전환 대응 차세대 방제자원 확보 전략 연구용역</t>
  </si>
  <si>
    <t>해양경찰청</t>
  </si>
  <si>
    <t>112</t>
  </si>
  <si>
    <t>2025-055(R)</t>
  </si>
  <si>
    <t>산사태 발생 우려지역 스마트 조사 기술 개발(1차년도)</t>
  </si>
  <si>
    <t>한국임업진흥원</t>
  </si>
  <si>
    <t>113</t>
  </si>
  <si>
    <t>2025-056(R)</t>
  </si>
  <si>
    <t>해양환경 잔류성 오염물질 관리기술 개발(2차년도)</t>
  </si>
  <si>
    <t>114</t>
  </si>
  <si>
    <t>2025-057</t>
  </si>
  <si>
    <t>2035 NDC 경제적 효과분석(II)</t>
  </si>
  <si>
    <t>10340</t>
  </si>
  <si>
    <t>문종우</t>
  </si>
  <si>
    <t>115</t>
  </si>
  <si>
    <t>2025-058</t>
  </si>
  <si>
    <t>물 분야 이니셔티브 활성화를 위한 정책 마련 연구</t>
  </si>
  <si>
    <t>10357</t>
  </si>
  <si>
    <t>오명진</t>
  </si>
  <si>
    <t>116</t>
  </si>
  <si>
    <t>2025-059</t>
  </si>
  <si>
    <t>2025년 환경규제 비용·편익 분석 사업</t>
  </si>
  <si>
    <t>환경부 규제개혁법무담당관실</t>
  </si>
  <si>
    <t>117</t>
  </si>
  <si>
    <t>2025-060(R)</t>
  </si>
  <si>
    <t>아열대 해양환경적응 시나리오개발 대응책 및 활용체계 구축(1차년도)</t>
  </si>
  <si>
    <t>118</t>
  </si>
  <si>
    <t>2025-061</t>
  </si>
  <si>
    <t>배터리 재생원료 생산인증 방법론 마련 연구</t>
  </si>
  <si>
    <t>10221</t>
  </si>
  <si>
    <t>조지혜</t>
  </si>
  <si>
    <t>119</t>
  </si>
  <si>
    <t>2025-062</t>
  </si>
  <si>
    <t>제4차 자연환경보전기본계획(2026-2035) 수립 연구</t>
  </si>
  <si>
    <t>10164</t>
  </si>
  <si>
    <t>홍현정</t>
  </si>
  <si>
    <t>120</t>
  </si>
  <si>
    <t>2025-063</t>
  </si>
  <si>
    <t>공사장 소음 스마트 관리 시스템 개발 기획연구</t>
  </si>
  <si>
    <t>10303</t>
  </si>
  <si>
    <t>이병권</t>
  </si>
  <si>
    <t>121</t>
  </si>
  <si>
    <t>2025-064(R)</t>
  </si>
  <si>
    <t>수생태계 서비스 평가지표 개발 및 가치평가 기술개발(1차년도)</t>
  </si>
  <si>
    <t>122</t>
  </si>
  <si>
    <t>2025-065</t>
  </si>
  <si>
    <t>어린이 환경보건 출생코호트 중간평가 및 개선방안 연구</t>
  </si>
  <si>
    <t>123</t>
  </si>
  <si>
    <t>2025-066</t>
  </si>
  <si>
    <t>'24년 대기환경관리 시행계획(4개권역) 추진실적 평가 연구용역</t>
  </si>
  <si>
    <t>10311</t>
  </si>
  <si>
    <t>최기철</t>
  </si>
  <si>
    <t>124</t>
  </si>
  <si>
    <t>2025-067</t>
  </si>
  <si>
    <t>건강영향평가 수행 지원체계 마련 연구</t>
  </si>
  <si>
    <t>10161</t>
  </si>
  <si>
    <t>하종식</t>
  </si>
  <si>
    <t>125</t>
  </si>
  <si>
    <t>2025-068</t>
  </si>
  <si>
    <t>하천·하구 쓰레기 중장기 관리방안 마련 연구</t>
  </si>
  <si>
    <t>10342</t>
  </si>
  <si>
    <t>김연중</t>
  </si>
  <si>
    <t>126</t>
  </si>
  <si>
    <t>2025-069</t>
  </si>
  <si>
    <t>대기환경보전법 하위법령 정비 방안 연구</t>
  </si>
  <si>
    <t>환경부 대기관리과</t>
  </si>
  <si>
    <t>127</t>
  </si>
  <si>
    <t>2025-070</t>
  </si>
  <si>
    <t>제5차 국가환경종합계획(‘20~’40) 수정계획 수립 연구(II)</t>
  </si>
  <si>
    <t>박창석,최희선</t>
  </si>
  <si>
    <t>202508030</t>
  </si>
  <si>
    <t>임원실</t>
  </si>
  <si>
    <t>128</t>
  </si>
  <si>
    <t>2025-071(R)</t>
  </si>
  <si>
    <t>시민참여형 기후 적응 최적화를 위한 시민·사회·경제·환경 데이터 분석을 통한 정책평가기술 개발(1차년도)</t>
  </si>
  <si>
    <t>10146</t>
  </si>
  <si>
    <t>채여라</t>
  </si>
  <si>
    <t>129</t>
  </si>
  <si>
    <t>2025-072(R)</t>
  </si>
  <si>
    <t>스마트 및 지속가능 도시 표준화 기반 조성 및 탄소중립 도시 관련 국제표준 개발(1차년도)</t>
  </si>
  <si>
    <t>130</t>
  </si>
  <si>
    <t>2025-073</t>
  </si>
  <si>
    <t>제2차 토양보전 기본계획 점검 및 개선방안 마련 연구</t>
  </si>
  <si>
    <t>10130</t>
  </si>
  <si>
    <t>이정호</t>
  </si>
  <si>
    <t>131</t>
  </si>
  <si>
    <t>2025-074</t>
  </si>
  <si>
    <t>환경안전 및 적정관리를 고려한 폐수 활용방안 마련 연구</t>
  </si>
  <si>
    <t>132</t>
  </si>
  <si>
    <t>2025-075</t>
  </si>
  <si>
    <t>물분야 국제협력 활성화 연구(II)</t>
  </si>
  <si>
    <t>133</t>
  </si>
  <si>
    <t>2025-076</t>
  </si>
  <si>
    <t>자연환경보전법 개정 법안 하위법령·행정규칙 마련 및 규제분석 연구</t>
  </si>
  <si>
    <t>134</t>
  </si>
  <si>
    <t>2025-077</t>
  </si>
  <si>
    <t>2025년 환경관련 조세 및 세입계정 통계 작성(2023년 기준)</t>
  </si>
  <si>
    <t>135</t>
  </si>
  <si>
    <t>2025-078</t>
  </si>
  <si>
    <t>유네스코 과학 기반 국가물평가 대응 체계 마련(I)</t>
  </si>
  <si>
    <t>136</t>
  </si>
  <si>
    <t>2025-079</t>
  </si>
  <si>
    <t>대규모 건강 코호트를 활용한 미세먼지 등 대기오염 노출 건강 영향 연구(1차)</t>
  </si>
  <si>
    <t>국립보건연구원</t>
  </si>
  <si>
    <t>137</t>
  </si>
  <si>
    <t>2025-080</t>
  </si>
  <si>
    <t>제1차 순환경제기본계획 수립 연구(1차)</t>
  </si>
  <si>
    <t>138</t>
  </si>
  <si>
    <t>2025-081</t>
  </si>
  <si>
    <t>2030 국가보호지역 확대 로드맵 이행계획 마련 연구</t>
  </si>
  <si>
    <t>139</t>
  </si>
  <si>
    <t>2025-082</t>
  </si>
  <si>
    <t>2025 OECD 탄소감축포럼(IFCMA) 및 기후클럽 논의 대응 연구</t>
  </si>
  <si>
    <t>140</t>
  </si>
  <si>
    <t>2025-083</t>
  </si>
  <si>
    <t>2024년도 한강수계 주민지원사업 평가</t>
  </si>
  <si>
    <t>한강수계관리위원회</t>
  </si>
  <si>
    <t>141</t>
  </si>
  <si>
    <t>2025-084</t>
  </si>
  <si>
    <t>한국의 SDG 이행보고서 2026 작성을 위한 지표 분석 연구</t>
  </si>
  <si>
    <t>통계청 국가통계연구원</t>
  </si>
  <si>
    <t>142</t>
  </si>
  <si>
    <t>2025-085</t>
  </si>
  <si>
    <t>2024년 친환경 청정사업 성과평가</t>
  </si>
  <si>
    <t>143</t>
  </si>
  <si>
    <t>2025-086</t>
  </si>
  <si>
    <t>토양·지하수 오염 통합관리체계 선진화 연구(I)</t>
  </si>
  <si>
    <t>10226</t>
  </si>
  <si>
    <t>현윤정</t>
  </si>
  <si>
    <t>144</t>
  </si>
  <si>
    <t>2025-087</t>
  </si>
  <si>
    <t>국립공원 가치평가를 위한 생태계 건강성 지표 개발 연구</t>
  </si>
  <si>
    <t>국립공원공단</t>
  </si>
  <si>
    <t>145</t>
  </si>
  <si>
    <t>2025-088(R)</t>
  </si>
  <si>
    <t>지하공간 침수위험도 평가 및 한국형 침수피해 저감시설 개발(1차년도)</t>
  </si>
  <si>
    <t>국립재난안전연구원</t>
  </si>
  <si>
    <t>146</t>
  </si>
  <si>
    <t>2025-089</t>
  </si>
  <si>
    <t>완충저류시설 설치 촉진을 위한 로드맵 마련</t>
  </si>
  <si>
    <t>147</t>
  </si>
  <si>
    <t>2025-090</t>
  </si>
  <si>
    <t>음식물류폐기물 감량기 관리체계 개선방안 마련 연구</t>
  </si>
  <si>
    <t>10313</t>
  </si>
  <si>
    <t>주문솔</t>
  </si>
  <si>
    <t>환경부 생활폐기물과</t>
  </si>
  <si>
    <t>148</t>
  </si>
  <si>
    <t>2025-091</t>
  </si>
  <si>
    <t>산업폐수관리개선방안(II) 및 공공폐수처리시설 기본계획 수립 지침 마련 연구</t>
  </si>
  <si>
    <t>149</t>
  </si>
  <si>
    <t>2025-092</t>
  </si>
  <si>
    <t>자연환경복원사업 및 생태계서비스지불제계약 민간참여 활성화 연구용역</t>
  </si>
  <si>
    <t>환경부,한국환경보전원</t>
  </si>
  <si>
    <t>150</t>
  </si>
  <si>
    <t>2025-093</t>
  </si>
  <si>
    <t>미중 기후 및 청정에너지 전환 전략 비교</t>
  </si>
  <si>
    <t>10231</t>
  </si>
  <si>
    <t>강택구</t>
  </si>
  <si>
    <t>대외경제정책연구원</t>
  </si>
  <si>
    <t>151</t>
  </si>
  <si>
    <t>2025-094</t>
  </si>
  <si>
    <t>배출권거래제 대상 온실가스 배출량 증감 원인 분석연구</t>
  </si>
  <si>
    <t>152</t>
  </si>
  <si>
    <t>2025-095</t>
  </si>
  <si>
    <t>2025년 산업계 녹색화학 전환지원 기반구축 사업</t>
  </si>
  <si>
    <t>153</t>
  </si>
  <si>
    <t>2025-096</t>
  </si>
  <si>
    <t>2025년 해양폐기물 실태조사</t>
  </si>
  <si>
    <t>해양환경공단</t>
  </si>
  <si>
    <t>154</t>
  </si>
  <si>
    <t>2025-097</t>
  </si>
  <si>
    <t>2024년 기준 환경보호지출계정 편제</t>
  </si>
  <si>
    <t>155</t>
  </si>
  <si>
    <t>2025-098</t>
  </si>
  <si>
    <t>세계 생물다양성 프레임워크 이행을 위한 유전자 다양성 국가지표(안)(2차년도)</t>
  </si>
  <si>
    <t>156</t>
  </si>
  <si>
    <t>2025-099</t>
  </si>
  <si>
    <t>실내공기질 오염물질 지정체계 마련</t>
  </si>
  <si>
    <t>157</t>
  </si>
  <si>
    <t>2025-100</t>
  </si>
  <si>
    <t>응축성 미세먼지 생성에 미치는 배출 영향 평가 연구</t>
  </si>
  <si>
    <t>국립환경과학원 대기공학연구과</t>
  </si>
  <si>
    <t>158</t>
  </si>
  <si>
    <t>2025-101(R)</t>
  </si>
  <si>
    <t>지반변위 고려 급경사지 재해 위험성 분석기술 개발(1차년도)</t>
  </si>
  <si>
    <t>159</t>
  </si>
  <si>
    <t>2025-102</t>
  </si>
  <si>
    <t>환경부 소속.산하생물자원관 기후변화 연구 로드맵(26~30)수립</t>
  </si>
  <si>
    <t>10279</t>
  </si>
  <si>
    <t>김윤정</t>
  </si>
  <si>
    <t>160</t>
  </si>
  <si>
    <t>2025-103</t>
  </si>
  <si>
    <t>지하수 관리 법정계획 정책지표 설정방안 연구</t>
  </si>
  <si>
    <t>환경부 토양지하수과</t>
  </si>
  <si>
    <t>161</t>
  </si>
  <si>
    <t>2025-104</t>
  </si>
  <si>
    <t>국토교통부</t>
  </si>
  <si>
    <t>162</t>
  </si>
  <si>
    <t>2025-105(R)</t>
  </si>
  <si>
    <t>163</t>
  </si>
  <si>
    <t>2025-106</t>
  </si>
  <si>
    <t>환경부 생물다양성과</t>
  </si>
  <si>
    <t>164</t>
  </si>
  <si>
    <t>2025-107</t>
  </si>
  <si>
    <t>10275</t>
  </si>
  <si>
    <t>김유미</t>
  </si>
  <si>
    <t>165</t>
  </si>
  <si>
    <t>2025-108</t>
  </si>
  <si>
    <t>세계은행(World Bank)</t>
  </si>
  <si>
    <t>166</t>
  </si>
  <si>
    <t>2025-109</t>
  </si>
  <si>
    <t>167</t>
  </si>
  <si>
    <t>2025-110</t>
  </si>
  <si>
    <t>168</t>
  </si>
  <si>
    <t>2025-111</t>
  </si>
  <si>
    <t>환경부 자연생태정책과</t>
  </si>
  <si>
    <t>169</t>
  </si>
  <si>
    <t>2025-112</t>
  </si>
  <si>
    <t>환경부 국제환경협약팀</t>
  </si>
  <si>
    <t>170</t>
  </si>
  <si>
    <t>2025-113</t>
  </si>
  <si>
    <t>171</t>
  </si>
  <si>
    <t>2025-114</t>
  </si>
  <si>
    <t>10305</t>
  </si>
  <si>
    <t>신동원</t>
  </si>
  <si>
    <t>기획재정부 기후대응전략과</t>
  </si>
  <si>
    <t>172</t>
  </si>
  <si>
    <t>2025-115</t>
  </si>
  <si>
    <t>기후에너지환경부 물산업협력과</t>
  </si>
  <si>
    <t>173</t>
  </si>
  <si>
    <t>2025-116</t>
  </si>
  <si>
    <t>기후에너지환경부 물관리총괄과</t>
  </si>
  <si>
    <t>174</t>
  </si>
  <si>
    <t>2025-117</t>
  </si>
  <si>
    <t>기후에너지환경부 통합허가제도과</t>
  </si>
  <si>
    <t>175</t>
  </si>
  <si>
    <t>기초과제</t>
  </si>
  <si>
    <t>BA2024-02</t>
  </si>
  <si>
    <t>2024년도 2차 기초연구사업</t>
  </si>
  <si>
    <t>10255</t>
  </si>
  <si>
    <t>한진석</t>
  </si>
  <si>
    <t>201902018</t>
  </si>
  <si>
    <t>기획조정팀</t>
  </si>
  <si>
    <t>176</t>
  </si>
  <si>
    <t>(모과제)순환경제 이행 평가 국제동향 분석</t>
  </si>
  <si>
    <t>10159</t>
  </si>
  <si>
    <t>임혜숙</t>
  </si>
  <si>
    <t>201902118</t>
  </si>
  <si>
    <t>자원순환연구실</t>
  </si>
  <si>
    <t>177</t>
  </si>
  <si>
    <t>BA2024-020-08</t>
  </si>
  <si>
    <t>(모과제)섬의 보전과 지속가능한 개발에 관한 국제 정책동향</t>
  </si>
  <si>
    <t>10352</t>
  </si>
  <si>
    <t>허남주</t>
  </si>
  <si>
    <t>178</t>
  </si>
  <si>
    <t>BA2024-022-07</t>
  </si>
  <si>
    <t>순환경제 이행 평가 국제동향 분석</t>
  </si>
  <si>
    <t>179</t>
  </si>
  <si>
    <t>BA2024-022-08</t>
  </si>
  <si>
    <t>섬의 보전과 지속가능한 개발에 관한 국제 정책동향</t>
  </si>
  <si>
    <t>180</t>
  </si>
  <si>
    <t>BA2024-03</t>
  </si>
  <si>
    <t>2024년도 3차 기초연구사업</t>
  </si>
  <si>
    <t>181</t>
  </si>
  <si>
    <t>BA2024-030-09</t>
  </si>
  <si>
    <t xml:space="preserve">(모과제)제4차 자연환경보전기본계획(2026-2035) 수립 기초 연구 </t>
  </si>
  <si>
    <t>182</t>
  </si>
  <si>
    <t>BA2024-030-10</t>
  </si>
  <si>
    <t>(모과제)인공지능 기술의 환경보건 정책 활용 동향 분석</t>
  </si>
  <si>
    <t>10358</t>
  </si>
  <si>
    <t>임미영</t>
  </si>
  <si>
    <t>183</t>
  </si>
  <si>
    <t>BA2024-030-11</t>
  </si>
  <si>
    <t>(모과제)대기오염물질 간의 인과관계 추정을 위한 인공지능 방법론 활용 현황 분석</t>
  </si>
  <si>
    <t>30054</t>
  </si>
  <si>
    <t>김도연</t>
  </si>
  <si>
    <t>201902196</t>
  </si>
  <si>
    <t>환경데이터전략센터</t>
  </si>
  <si>
    <t>184</t>
  </si>
  <si>
    <t>BA2024-030-12</t>
  </si>
  <si>
    <t>(모과제)하천 수생태계 건강성 예측모델 비교분석 연구</t>
  </si>
  <si>
    <t>185</t>
  </si>
  <si>
    <t>BA2024-030-13</t>
  </si>
  <si>
    <t>(모과제)수생태계의 효과적 관리를 위한 사후환경영향조사 생태-수환경 검토 연계 방안</t>
  </si>
  <si>
    <t>10269</t>
  </si>
  <si>
    <t>강유진</t>
  </si>
  <si>
    <t>186</t>
  </si>
  <si>
    <t>BA2024-032-09</t>
  </si>
  <si>
    <t xml:space="preserve">제4차 자연환경보전기본계획(2026-2035) 수립 기초 연구 </t>
  </si>
  <si>
    <t>187</t>
  </si>
  <si>
    <t>BA2024-032-10</t>
  </si>
  <si>
    <t>인공지능 기술의 환경보건 정책 활용 동향 분석</t>
  </si>
  <si>
    <t>188</t>
  </si>
  <si>
    <t>BA2024-032-11</t>
  </si>
  <si>
    <t>대기오염물질 간의 인과관계 추정을 위한 인공지능 방법론 활용 현황 분석</t>
  </si>
  <si>
    <t>189</t>
  </si>
  <si>
    <t>BA2024-032-12</t>
  </si>
  <si>
    <t>하천 수생태계 건강성 예측모델 비교분석 연구</t>
  </si>
  <si>
    <t>190</t>
  </si>
  <si>
    <t>BA2024-032-13</t>
  </si>
  <si>
    <t>수생태계의 효과적 관리를 위한 사후환경영향조사 생태-수환경 검토 연계 방안</t>
  </si>
  <si>
    <t>191</t>
  </si>
  <si>
    <t>BA2025-01</t>
  </si>
  <si>
    <t>2025년도 1차 기초연구사업</t>
  </si>
  <si>
    <t>192</t>
  </si>
  <si>
    <t>BA2025-010-01</t>
  </si>
  <si>
    <t>건설 부문의 순환경제 이행을 위한 정책 국제동향 분석 연구</t>
  </si>
  <si>
    <t>193</t>
  </si>
  <si>
    <t>BA2025-010-02</t>
  </si>
  <si>
    <t>연안 그린-그레이 인프라 침수리스크 감소 평가체계 구축</t>
  </si>
  <si>
    <t>194</t>
  </si>
  <si>
    <t>BA2025-010-03</t>
  </si>
  <si>
    <t>ESG 공시와 자연자본 공시 간 연계성 제고를 위한 기초 연구</t>
  </si>
  <si>
    <t>10359</t>
  </si>
  <si>
    <t>김현정</t>
  </si>
  <si>
    <t>195</t>
  </si>
  <si>
    <t>BA2025-02</t>
  </si>
  <si>
    <t>2025년도 2차 기초연구사업</t>
  </si>
  <si>
    <t>196</t>
  </si>
  <si>
    <t>BA2025-020-04</t>
  </si>
  <si>
    <t>환경영향평가 육수생태계 영향 저감방안 적용사례 분석</t>
  </si>
  <si>
    <t>10360</t>
  </si>
  <si>
    <t>김효겸</t>
  </si>
  <si>
    <t>197</t>
  </si>
  <si>
    <t>BA2025-020-05</t>
  </si>
  <si>
    <t xml:space="preserve">인공지능 기반 생물다양성 조사 기술의 활용 동향 및 전망 </t>
  </si>
  <si>
    <t>198</t>
  </si>
  <si>
    <t>BA2025-03</t>
  </si>
  <si>
    <t>10298</t>
  </si>
  <si>
    <t>박종윤</t>
  </si>
  <si>
    <t>202508174</t>
  </si>
  <si>
    <t>연구기획팀</t>
  </si>
  <si>
    <t>199</t>
  </si>
  <si>
    <t>BA2025-030-06</t>
  </si>
  <si>
    <t>30051</t>
  </si>
  <si>
    <t>정성운</t>
  </si>
  <si>
    <t>202508198</t>
  </si>
  <si>
    <t>글로벌협력팀</t>
  </si>
  <si>
    <t>200</t>
  </si>
  <si>
    <t>BA2025-030-07</t>
  </si>
  <si>
    <t>10355</t>
  </si>
  <si>
    <t>성경민</t>
  </si>
  <si>
    <t>201</t>
  </si>
  <si>
    <t>BA2025-031-06</t>
  </si>
  <si>
    <t>202</t>
  </si>
  <si>
    <t>BA2025-031-07</t>
  </si>
  <si>
    <t>가뭄-산불 복합재난 리스크 평가 방법론 검토</t>
  </si>
  <si>
    <t>박주영</t>
  </si>
  <si>
    <t>국내 ESG 고도화 및 환경규제 효율화 연구</t>
  </si>
  <si>
    <t>271</t>
  </si>
  <si>
    <t>일반사업</t>
  </si>
  <si>
    <t>GP2025-01</t>
  </si>
  <si>
    <t>지구환경정보센터 운영</t>
  </si>
  <si>
    <t>10217</t>
  </si>
  <si>
    <t>박준현</t>
  </si>
  <si>
    <t>272</t>
  </si>
  <si>
    <t>GP2025-02</t>
  </si>
  <si>
    <t>국토환경정보시스템 운영 관리</t>
  </si>
  <si>
    <t>273</t>
  </si>
  <si>
    <t>GP2025-03</t>
  </si>
  <si>
    <t>환경정책교육원 운영</t>
  </si>
  <si>
    <t>274</t>
  </si>
  <si>
    <t>GP2025-04</t>
  </si>
  <si>
    <t>국가 리스크 관리를 위한 기후변화 적응역량 구축·평가</t>
  </si>
  <si>
    <t>275</t>
  </si>
  <si>
    <t>GP2025-05</t>
  </si>
  <si>
    <t>환경평가 모니터링 사업</t>
  </si>
  <si>
    <t>276</t>
  </si>
  <si>
    <t>GP2025-06</t>
  </si>
  <si>
    <t>기후변화영향평가 검토 및 기법 연구</t>
  </si>
  <si>
    <t>277</t>
  </si>
  <si>
    <t>GP2025-07</t>
  </si>
  <si>
    <t>10173</t>
  </si>
  <si>
    <t>김호석</t>
  </si>
  <si>
    <t>278</t>
  </si>
  <si>
    <t>GP2025-08</t>
  </si>
  <si>
    <t>물-환경-경제 통합분석 기반 물정책전망(Water Policy Outlook) 연구</t>
  </si>
  <si>
    <t>279</t>
  </si>
  <si>
    <t>GP2025-09</t>
  </si>
  <si>
    <t>글로벌 환경규제 대응을 위한 플라스틱 순환성 및 전주기 환경성 연구</t>
  </si>
  <si>
    <t>280</t>
  </si>
  <si>
    <t>GP2025-10</t>
  </si>
  <si>
    <t>생태계 계정 구축 및 생물다양성 주류화 정책 개발</t>
  </si>
  <si>
    <t>281</t>
  </si>
  <si>
    <t>GP2025-11</t>
  </si>
  <si>
    <t>환경평가 효율화를 위한 통합진단시스템 구축</t>
  </si>
  <si>
    <t>282</t>
  </si>
  <si>
    <t>GP2025-12</t>
  </si>
  <si>
    <t>녹색경제협동연구</t>
  </si>
  <si>
    <t>283</t>
  </si>
  <si>
    <t>GP2025-13</t>
  </si>
  <si>
    <t>KEI 정보 인프라시스템 유지보수</t>
  </si>
  <si>
    <t>10247</t>
  </si>
  <si>
    <t>천재홍</t>
  </si>
  <si>
    <t>201902161</t>
  </si>
  <si>
    <t>지식정보팀</t>
  </si>
  <si>
    <t>284</t>
  </si>
  <si>
    <t>GP2025-14</t>
  </si>
  <si>
    <t>KEI 백업시스템 등 정보보안 인프라 확충</t>
  </si>
  <si>
    <t>285</t>
  </si>
  <si>
    <t>IN2025-01</t>
  </si>
  <si>
    <t>제주특별자치도 환경평가 검토</t>
  </si>
  <si>
    <t>제주도청</t>
  </si>
  <si>
    <t>286</t>
  </si>
  <si>
    <t>IN2025-02</t>
  </si>
  <si>
    <t>전북특별자치도 환경평가 검토</t>
  </si>
  <si>
    <t>287</t>
  </si>
  <si>
    <t>IN2025-03</t>
  </si>
  <si>
    <t>KOICA 2025년도 영프로페셔널 사업</t>
  </si>
  <si>
    <t>KOICA</t>
  </si>
  <si>
    <t>288</t>
  </si>
  <si>
    <t>IN2025-04</t>
  </si>
  <si>
    <t>강원특별자치도 환경평가 검토</t>
  </si>
  <si>
    <t>강원특별자치도</t>
  </si>
  <si>
    <t>289</t>
  </si>
  <si>
    <t>연구개발적립금</t>
  </si>
  <si>
    <t>RD2024-01</t>
  </si>
  <si>
    <t>청년인턴십 운영</t>
  </si>
  <si>
    <t>10141</t>
  </si>
  <si>
    <t>이영순</t>
  </si>
  <si>
    <t>201902150</t>
  </si>
  <si>
    <t>행정관리실</t>
  </si>
  <si>
    <t>290</t>
  </si>
  <si>
    <t>RD2025-01</t>
  </si>
  <si>
    <t>10097</t>
  </si>
  <si>
    <t>김용구</t>
  </si>
  <si>
    <t>202508150</t>
  </si>
  <si>
    <t>291</t>
  </si>
  <si>
    <t>RD2025-02</t>
  </si>
  <si>
    <t>KEI 지속가능경영 유지 관리 사업</t>
  </si>
  <si>
    <t>10324</t>
  </si>
  <si>
    <t>홍제우</t>
  </si>
  <si>
    <t>202508175</t>
  </si>
  <si>
    <t>292</t>
  </si>
  <si>
    <t>기본과제</t>
  </si>
  <si>
    <t>RE2025-01</t>
  </si>
  <si>
    <t>생활 속 인간-야생생물 갈등 관리 개선 방안 연구</t>
  </si>
  <si>
    <t>293</t>
  </si>
  <si>
    <t>RE2025-02</t>
  </si>
  <si>
    <t>해상풍력 확대를 위한 해저케이블 제도정비방안</t>
  </si>
  <si>
    <t>10321</t>
  </si>
  <si>
    <t>이재혁</t>
  </si>
  <si>
    <t>294</t>
  </si>
  <si>
    <t>RE2025-03</t>
  </si>
  <si>
    <t>기후변화영향평가의 실효성 확보를 위한 사후관리 방안 연구 - 도시개발사업의 협의내용 이행·관리 방안을 중심으로</t>
  </si>
  <si>
    <t>295</t>
  </si>
  <si>
    <t>RE2025-04</t>
  </si>
  <si>
    <t>지역 여건을 고려한 기후탄력성 개선구역 설정 및 관리방안</t>
  </si>
  <si>
    <t>10253</t>
  </si>
  <si>
    <t>김태현</t>
  </si>
  <si>
    <t>296</t>
  </si>
  <si>
    <t>RE2025-05</t>
  </si>
  <si>
    <t>물환경 개선을 위한 점오염원 수준의 도시지역 하수월류수 및 강우유출수 관리 전략</t>
  </si>
  <si>
    <t>297</t>
  </si>
  <si>
    <t>RE2025-06</t>
  </si>
  <si>
    <t>기후위기 대응 물관리 재정추계 방안 마련 연구</t>
  </si>
  <si>
    <t>298</t>
  </si>
  <si>
    <t>RE2025-07</t>
  </si>
  <si>
    <t>개발사업 계획과 시행의 연속성 확보를 위한 환경영향평가 제도 개선방안: 1차년도 면적 개발사업</t>
  </si>
  <si>
    <t>299</t>
  </si>
  <si>
    <t>RE2025-08</t>
  </si>
  <si>
    <t>기후위기 대응을 위한 거버넌스체계 연구: 주요국 사례분석을 중심으로</t>
  </si>
  <si>
    <t>300</t>
  </si>
  <si>
    <t>RE2025-09</t>
  </si>
  <si>
    <t>잔류성유기오염물질 인체 및 환경기준 설정 방안 연구</t>
  </si>
  <si>
    <t>정다운,정윤선</t>
  </si>
  <si>
    <t>301</t>
  </si>
  <si>
    <t>RE2025-10</t>
  </si>
  <si>
    <t>시멘트 산업의 대기오염 관리 및 탄소중립 전략에 대한 통합적 개선방안 연구</t>
  </si>
  <si>
    <t>302</t>
  </si>
  <si>
    <t>RE2025-11</t>
  </si>
  <si>
    <t>유역 물환경 개선을 위한 수변구역 관리제도 연구(I)</t>
  </si>
  <si>
    <t>303</t>
  </si>
  <si>
    <t>RE2025-12</t>
  </si>
  <si>
    <t>「순환경제사회촉진법」 시행에 따른 폐기물 및 자원순환 통계 개선방안 연구</t>
  </si>
  <si>
    <t>304</t>
  </si>
  <si>
    <t>RE2025-13</t>
  </si>
  <si>
    <t>소규모 사업장의 방지시설 설치 및 IoT를 활용한 방지시설 관리 정책의 성과 및 개선방안</t>
  </si>
  <si>
    <t>305</t>
  </si>
  <si>
    <t>RE2025-14</t>
  </si>
  <si>
    <t>사회적 취약성 및 건강위험 기반 기후변화 적응전략 연구</t>
  </si>
  <si>
    <t>서양원,배현주</t>
  </si>
  <si>
    <t>306</t>
  </si>
  <si>
    <t>RE2025-15</t>
  </si>
  <si>
    <t>환경영향평가서 검토</t>
  </si>
  <si>
    <t>307</t>
  </si>
  <si>
    <t>RE2025-16</t>
  </si>
  <si>
    <t>전략환경영향평가 검토</t>
  </si>
  <si>
    <t>308</t>
  </si>
  <si>
    <t>RE2025-17</t>
  </si>
  <si>
    <t>기후대기 통합평가모형 개발 연구(Ⅲ)</t>
  </si>
  <si>
    <t>309</t>
  </si>
  <si>
    <t>RI2024-01</t>
  </si>
  <si>
    <t>환경평가 검토업무시스템 고도화</t>
  </si>
  <si>
    <t>310</t>
  </si>
  <si>
    <t>RI2025-01</t>
  </si>
  <si>
    <t>인공지능 활용 환경정책 데이터 허브 구축</t>
  </si>
  <si>
    <t>10345</t>
  </si>
  <si>
    <t>최광훈</t>
  </si>
  <si>
    <t>202508196</t>
  </si>
  <si>
    <t>AI데이터팀</t>
  </si>
  <si>
    <t>311</t>
  </si>
  <si>
    <t>RI2025-02</t>
  </si>
  <si>
    <t>KEI 글로벌 협력 기반 강화 및 포럼 운영</t>
  </si>
  <si>
    <t>312</t>
  </si>
  <si>
    <t>RI2025-03</t>
  </si>
  <si>
    <t>연구관리 평가시스템 및 데이터 관리체계 강화사업</t>
  </si>
  <si>
    <t>313</t>
  </si>
  <si>
    <t>RR2024-01</t>
  </si>
  <si>
    <t>기후위기 대응 하구·연안 통합환경정보체계 시범 구축(II)</t>
  </si>
  <si>
    <t>201902182</t>
  </si>
  <si>
    <t>314</t>
  </si>
  <si>
    <t>RR2024-02</t>
  </si>
  <si>
    <t>글로벌 기후정책의 대응을 위한 주제별 공동연구</t>
  </si>
  <si>
    <t>201902199</t>
  </si>
  <si>
    <t>315</t>
  </si>
  <si>
    <t>RR2024-03</t>
  </si>
  <si>
    <t>디지털 기술 적용 환경평가 지원도구 전략 수립 및 기능개선 연구</t>
  </si>
  <si>
    <t>201902102</t>
  </si>
  <si>
    <t>316</t>
  </si>
  <si>
    <t>RR2024-04</t>
  </si>
  <si>
    <t>317</t>
  </si>
  <si>
    <t>RR2024-07</t>
  </si>
  <si>
    <t>지속가능사회 구축을 위한 재생에너지 한일중 비교 연구</t>
  </si>
  <si>
    <t>201902178</t>
  </si>
  <si>
    <t>318</t>
  </si>
  <si>
    <t>RR2024-08</t>
  </si>
  <si>
    <t>극단적 홍수 및 가뭄 발생으로 인한 워터리스크의 전략적 대응 방안 연구</t>
  </si>
  <si>
    <t>319</t>
  </si>
  <si>
    <t>RR2024-09</t>
  </si>
  <si>
    <t>지불의사액 추정을 통한 친환경 인증제도 개선방안 마련 연구</t>
  </si>
  <si>
    <t>10325</t>
  </si>
  <si>
    <t>320</t>
  </si>
  <si>
    <t>RR2024-10</t>
  </si>
  <si>
    <t>탄소중립 이행 촉진 및 대기오염 동시 감축을 위한 대기관리체계 전환 방안</t>
  </si>
  <si>
    <t>최기철,이승민</t>
  </si>
  <si>
    <t>321</t>
  </si>
  <si>
    <t>RR2024-11</t>
  </si>
  <si>
    <t>기후위기 대응을 위한 하천사업의 환경평가 방안</t>
  </si>
  <si>
    <t>10194</t>
  </si>
  <si>
    <t>이진희</t>
  </si>
  <si>
    <t>322</t>
  </si>
  <si>
    <t>RR2024-14</t>
  </si>
  <si>
    <t>재생에너지-전력망 통합계획 제도화방안 연구</t>
  </si>
  <si>
    <t>323</t>
  </si>
  <si>
    <t>RR2024-15</t>
  </si>
  <si>
    <t>주민 탄소발자국 감축 도시계획요소 및 정책 수용성 비교 연구 - 한국과 독일을 대상으로</t>
  </si>
  <si>
    <t>324</t>
  </si>
  <si>
    <t>RR2024-17</t>
  </si>
  <si>
    <t>환경정책 데이터 서비스 허브 구축 및 운영</t>
  </si>
  <si>
    <t>10307</t>
  </si>
  <si>
    <t>진대용</t>
  </si>
  <si>
    <t>325</t>
  </si>
  <si>
    <t>RR2024-18</t>
  </si>
  <si>
    <t>글로벌 환경 지식협력 기반 구축 사업</t>
  </si>
  <si>
    <t>201902198</t>
  </si>
  <si>
    <t>326</t>
  </si>
  <si>
    <t>RR2024-19</t>
  </si>
  <si>
    <t xml:space="preserve">데이터 기반 연구관리 및 성과관리체계 개선사업 </t>
  </si>
  <si>
    <t>327</t>
  </si>
  <si>
    <t>RR2025-01</t>
  </si>
  <si>
    <t>물환경 보전을 위한 댐 건설 추진과 관리 개선 연구 - 기후대응댐 사례를 중심으로</t>
  </si>
  <si>
    <t>328</t>
  </si>
  <si>
    <t>RR2025-02</t>
  </si>
  <si>
    <t>국가 순환바이오경제전략 수립 방안 연구</t>
  </si>
  <si>
    <t>329</t>
  </si>
  <si>
    <t>RR2025-03</t>
  </si>
  <si>
    <t>지하수저류댐 용수의 합리적 이용을 위한 정책과제와 추진방향</t>
  </si>
  <si>
    <t>330</t>
  </si>
  <si>
    <t>RR2025-04</t>
  </si>
  <si>
    <t>수송 부문 비배기 배출로 인한 대기질 영향과 관리방안</t>
  </si>
  <si>
    <t>331</t>
  </si>
  <si>
    <t>RR2025-05</t>
  </si>
  <si>
    <t>법정보호식물 이식사업의 타당성 평가 체계 연구</t>
  </si>
  <si>
    <t>332</t>
  </si>
  <si>
    <t>RR2025-06</t>
  </si>
  <si>
    <t>환경상태 종합평가를 위한 지표체계 개발 및 적용</t>
  </si>
  <si>
    <t>333</t>
  </si>
  <si>
    <t>RR2025-07</t>
  </si>
  <si>
    <t>GIVE 모형 기반 탄소 배출의 사회적 비용 산정</t>
  </si>
  <si>
    <t>10347</t>
  </si>
  <si>
    <t>김현규</t>
  </si>
  <si>
    <t>334</t>
  </si>
  <si>
    <t>RR2025-08</t>
  </si>
  <si>
    <t>공간계획과 기후대책의 통합 전략 마련</t>
  </si>
  <si>
    <t>335</t>
  </si>
  <si>
    <t>RR2025-09</t>
  </si>
  <si>
    <t>하천구역 야적퇴비 통합관리 정책 개선방안 마련을 위한 연구</t>
  </si>
  <si>
    <t>10295</t>
  </si>
  <si>
    <t>이영준B</t>
  </si>
  <si>
    <t>336</t>
  </si>
  <si>
    <t>RR2025-10</t>
  </si>
  <si>
    <t>하구 통합관리를 위한 법제도 정비 방안 연구</t>
  </si>
  <si>
    <t>337</t>
  </si>
  <si>
    <t>RT2025-01</t>
  </si>
  <si>
    <t>전문역량 및 리더십 강화사업</t>
  </si>
  <si>
    <t>10250</t>
  </si>
  <si>
    <t>김대식</t>
  </si>
  <si>
    <t>202508202</t>
  </si>
  <si>
    <t>인재개발팀</t>
  </si>
  <si>
    <t>338</t>
  </si>
  <si>
    <t>연구지원사업</t>
  </si>
  <si>
    <t>SP2025-01</t>
  </si>
  <si>
    <t>학술 및 정보교류사업</t>
  </si>
  <si>
    <t>10322</t>
  </si>
  <si>
    <t>염정윤</t>
  </si>
  <si>
    <t>202508176</t>
  </si>
  <si>
    <t>소통협력팀</t>
  </si>
  <si>
    <t>339</t>
  </si>
  <si>
    <t>SP2025-02</t>
  </si>
  <si>
    <t>연구사업관리</t>
  </si>
  <si>
    <t>340</t>
  </si>
  <si>
    <t>SP2025-03</t>
  </si>
  <si>
    <t>지속가능발전 연구기관 네트워크(NISD) 운영</t>
  </si>
  <si>
    <t>341</t>
  </si>
  <si>
    <t>SP2025-04</t>
  </si>
  <si>
    <t>연구기획사업</t>
  </si>
  <si>
    <t>342</t>
  </si>
  <si>
    <t>SP2025-05</t>
  </si>
  <si>
    <t>연구성과확산사업</t>
  </si>
  <si>
    <t>10176</t>
  </si>
  <si>
    <t>신경희</t>
  </si>
  <si>
    <t>202508042</t>
  </si>
  <si>
    <t>기획조정실</t>
  </si>
  <si>
    <t>343</t>
  </si>
  <si>
    <t>SP2025-06</t>
  </si>
  <si>
    <t>정보자료운영</t>
  </si>
  <si>
    <t>344</t>
  </si>
  <si>
    <t>SP2025-07</t>
  </si>
  <si>
    <t>전산운영</t>
  </si>
  <si>
    <t>345</t>
  </si>
  <si>
    <t>SP2025-08</t>
  </si>
  <si>
    <t>346</t>
  </si>
  <si>
    <t>수시과제</t>
  </si>
  <si>
    <t>WO2024-08</t>
  </si>
  <si>
    <t>폐의류의 국내 재활용 체계 구축 방안 연구</t>
  </si>
  <si>
    <t>347</t>
  </si>
  <si>
    <t>WO2024-08-02</t>
  </si>
  <si>
    <t>348</t>
  </si>
  <si>
    <t>WO2024-09</t>
  </si>
  <si>
    <t>사용 단계의 물 수요관리 강화 방안: 물 다소비시설을 중심으로</t>
  </si>
  <si>
    <t>349</t>
  </si>
  <si>
    <t>WO2024-09-02</t>
  </si>
  <si>
    <t>350</t>
  </si>
  <si>
    <t>WO2025-01</t>
  </si>
  <si>
    <t>순환경제를 위한 제품 ‘수리권’ 이행전략 수립 연구</t>
  </si>
  <si>
    <t>351</t>
  </si>
  <si>
    <t>WO2025-02</t>
  </si>
  <si>
    <t>트럼프 2.0 미·중 기후 및 재생에너지 쟁점과 시사점</t>
  </si>
  <si>
    <t>352</t>
  </si>
  <si>
    <t>WO2025-03</t>
  </si>
  <si>
    <t>환경보건 정책의 Planetary Health 패러다임 도입방안 마련 연구</t>
  </si>
  <si>
    <t>353</t>
  </si>
  <si>
    <t>WO2025-04</t>
  </si>
  <si>
    <t>물산업 진흥 정책 진단을 통한 성과평가체계 구축방안</t>
  </si>
  <si>
    <t>354</t>
  </si>
  <si>
    <t>WO2025-05</t>
  </si>
  <si>
    <t>지하공간 침수피해 저감을 위한 특별경계수위 제도 도입방안 마련</t>
  </si>
  <si>
    <t>355</t>
  </si>
  <si>
    <t>WO2025-06</t>
  </si>
  <si>
    <t>해상풍력 주민 수용성 증진을 위한 민관협의회 운영 연구</t>
  </si>
  <si>
    <t>10312</t>
  </si>
  <si>
    <t>김도균</t>
  </si>
  <si>
    <t>356</t>
  </si>
  <si>
    <t>WO2025-07</t>
  </si>
  <si>
    <t xml:space="preserve">도시 녹지네트워크 강화를 위한 법적체계 연계 및 관리 개선 방안 </t>
  </si>
  <si>
    <t>10336</t>
  </si>
  <si>
    <t>이지영</t>
  </si>
  <si>
    <t>357</t>
  </si>
  <si>
    <t>WO2025-07-01</t>
  </si>
  <si>
    <t>358</t>
  </si>
  <si>
    <t>WO2025-08</t>
  </si>
  <si>
    <t>노후계획도시의 AIoT 기반 지능형 생태도시로의 전략적 접근방안</t>
  </si>
  <si>
    <t>최희선,김근한</t>
  </si>
  <si>
    <t>359</t>
  </si>
  <si>
    <t>WO2025-08-01</t>
  </si>
  <si>
    <t>360</t>
  </si>
  <si>
    <t>WO2025-09</t>
  </si>
  <si>
    <t>361</t>
  </si>
  <si>
    <t>WO2025-09-01</t>
  </si>
  <si>
    <t>362</t>
  </si>
  <si>
    <t>WO2025-10</t>
  </si>
  <si>
    <t>무공해차 전환 촉진을 위한 수송용 연료 상대가격 조정 및 세수 활용 방안</t>
  </si>
  <si>
    <t>363</t>
  </si>
  <si>
    <t>WO2025-10-01</t>
  </si>
  <si>
    <t>364</t>
  </si>
  <si>
    <t>WO2025-11</t>
  </si>
  <si>
    <t>하천홍수완충공간 확보 방안의 실효성 분석 및 정책 추진 과제</t>
  </si>
  <si>
    <t>365</t>
  </si>
  <si>
    <t>WO2025-11-01</t>
  </si>
  <si>
    <t>실</t>
    <phoneticPr fontId="2" type="noConversion"/>
  </si>
  <si>
    <t>부</t>
    <phoneticPr fontId="2" type="noConversion"/>
  </si>
  <si>
    <t>Working Paper</t>
  </si>
  <si>
    <t>General Project</t>
  </si>
  <si>
    <t>Core Research</t>
  </si>
  <si>
    <t>Policy Issue Study</t>
  </si>
  <si>
    <t xml:space="preserve">Commissioned Research </t>
  </si>
  <si>
    <t>BA</t>
    <phoneticPr fontId="2" type="noConversion"/>
  </si>
  <si>
    <t>GP</t>
    <phoneticPr fontId="2" type="noConversion"/>
  </si>
  <si>
    <t>RE</t>
    <phoneticPr fontId="2" type="noConversion"/>
  </si>
  <si>
    <t>WO</t>
    <phoneticPr fontId="2" type="noConversion"/>
  </si>
  <si>
    <t>RR</t>
    <phoneticPr fontId="2" type="noConversion"/>
  </si>
  <si>
    <t>RI</t>
    <phoneticPr fontId="2" type="noConversion"/>
  </si>
  <si>
    <t>SP</t>
    <phoneticPr fontId="2" type="noConversion"/>
  </si>
  <si>
    <t>BA2024-020-07</t>
    <phoneticPr fontId="2" type="noConversion"/>
  </si>
  <si>
    <t xml:space="preserve">Climate Adaptation Policy Division </t>
  </si>
  <si>
    <t xml:space="preserve">Korea Adaptation Center for Climate Change </t>
  </si>
  <si>
    <t xml:space="preserve">Climate Adaptation Cooperation Division </t>
  </si>
  <si>
    <t xml:space="preserve">Land and Environment Research Group </t>
  </si>
  <si>
    <t xml:space="preserve">Natural Environment Division </t>
  </si>
  <si>
    <t>Spatial Planning and Management Division</t>
  </si>
  <si>
    <t xml:space="preserve">Water Management Division </t>
  </si>
  <si>
    <t xml:space="preserve">AI and Data Team </t>
  </si>
  <si>
    <t xml:space="preserve">Department of Planning and Strategy </t>
  </si>
  <si>
    <t>Global Cooperation Team</t>
  </si>
  <si>
    <t>Performance Management Team</t>
  </si>
  <si>
    <t xml:space="preserve">Green Economy Division </t>
  </si>
  <si>
    <t xml:space="preserve">Climate and Atmospheric Strategy Research Group  </t>
  </si>
  <si>
    <t>Atmospheric Environment Division</t>
  </si>
  <si>
    <t xml:space="preserve">Carbon Neutrality Division </t>
  </si>
  <si>
    <t>Executive Office</t>
  </si>
  <si>
    <t xml:space="preserve">Living Environment and Society Division </t>
  </si>
  <si>
    <t xml:space="preserve">Sustainable Development Research Group  </t>
  </si>
  <si>
    <t xml:space="preserve">Circular Economy Division </t>
  </si>
  <si>
    <t xml:space="preserve">Environmental Health Division </t>
  </si>
  <si>
    <t xml:space="preserve">Environmental Assessment Group </t>
  </si>
  <si>
    <t xml:space="preserve">Social Infrastructure Assessment Division </t>
  </si>
  <si>
    <t xml:space="preserve">Climate and Energy Assessment Division </t>
  </si>
  <si>
    <t xml:space="preserve">Environmental Resources Assessment Division </t>
  </si>
  <si>
    <t xml:space="preserve">Land Strategy Assessment Division </t>
  </si>
  <si>
    <t>과제명(영문)</t>
    <phoneticPr fontId="2" type="noConversion"/>
  </si>
  <si>
    <t>성명</t>
  </si>
  <si>
    <t>성명(영문)</t>
  </si>
  <si>
    <t>김영란</t>
    <phoneticPr fontId="2" type="noConversion"/>
  </si>
  <si>
    <t>Kim, Youngran</t>
    <phoneticPr fontId="2" type="noConversion"/>
  </si>
  <si>
    <t>장기복</t>
  </si>
  <si>
    <t>Chang, Ki-bok</t>
    <phoneticPr fontId="2" type="noConversion"/>
  </si>
  <si>
    <t>Park, Jeonggue</t>
    <phoneticPr fontId="2" type="noConversion"/>
  </si>
  <si>
    <t>이영수</t>
  </si>
  <si>
    <t>Lee, Youngsoo</t>
    <phoneticPr fontId="2" type="noConversion"/>
  </si>
  <si>
    <t>맹준호</t>
  </si>
  <si>
    <t>Maeng, Junho</t>
    <phoneticPr fontId="2" type="noConversion"/>
  </si>
  <si>
    <t>주현수</t>
    <phoneticPr fontId="2" type="noConversion"/>
  </si>
  <si>
    <t>Joo, Hyun-soo</t>
    <phoneticPr fontId="2" type="noConversion"/>
  </si>
  <si>
    <t>윤정호</t>
    <phoneticPr fontId="2" type="noConversion"/>
  </si>
  <si>
    <t>Yoon, Jeongho</t>
    <phoneticPr fontId="2" type="noConversion"/>
  </si>
  <si>
    <t>최두연</t>
  </si>
  <si>
    <t>Choi, Dooyeon</t>
    <phoneticPr fontId="2" type="noConversion"/>
  </si>
  <si>
    <t>정태영</t>
  </si>
  <si>
    <t>Chung, Taeyoung</t>
    <phoneticPr fontId="2" type="noConversion"/>
  </si>
  <si>
    <t>김용구</t>
    <phoneticPr fontId="2" type="noConversion"/>
  </si>
  <si>
    <t>Kim, Yonggu</t>
    <phoneticPr fontId="2" type="noConversion"/>
  </si>
  <si>
    <t>송은상</t>
    <phoneticPr fontId="2" type="noConversion"/>
  </si>
  <si>
    <t>Song, Eunsang</t>
    <phoneticPr fontId="2" type="noConversion"/>
  </si>
  <si>
    <t>주용준</t>
  </si>
  <si>
    <t>Joo, Yong-Joon</t>
    <phoneticPr fontId="2" type="noConversion"/>
  </si>
  <si>
    <t>이현우</t>
  </si>
  <si>
    <t>Lee, Hyun-Woo</t>
    <phoneticPr fontId="2" type="noConversion"/>
  </si>
  <si>
    <t>신용승</t>
  </si>
  <si>
    <t>Shin, Yongseung</t>
    <phoneticPr fontId="2" type="noConversion"/>
  </si>
  <si>
    <t>Lee, Jeongho</t>
    <phoneticPr fontId="2" type="noConversion"/>
  </si>
  <si>
    <t>황상일</t>
  </si>
  <si>
    <t xml:space="preserve">Hwang, Sangil </t>
    <phoneticPr fontId="2" type="noConversion"/>
  </si>
  <si>
    <t>안소은</t>
    <phoneticPr fontId="2" type="noConversion"/>
  </si>
  <si>
    <t xml:space="preserve">Ahn, SoEun </t>
    <phoneticPr fontId="2" type="noConversion"/>
  </si>
  <si>
    <t>김종호</t>
    <phoneticPr fontId="2" type="noConversion"/>
  </si>
  <si>
    <t>Kim, Jongho</t>
    <phoneticPr fontId="2" type="noConversion"/>
  </si>
  <si>
    <t>추장민</t>
  </si>
  <si>
    <t>Chu, Jangmin</t>
    <phoneticPr fontId="2" type="noConversion"/>
  </si>
  <si>
    <t>이영순</t>
    <phoneticPr fontId="2" type="noConversion"/>
  </si>
  <si>
    <t>Lee, Youngsun</t>
    <phoneticPr fontId="2" type="noConversion"/>
  </si>
  <si>
    <t>문난경</t>
  </si>
  <si>
    <t>Moon, Nankyoung</t>
    <phoneticPr fontId="2" type="noConversion"/>
  </si>
  <si>
    <t>선효성</t>
  </si>
  <si>
    <t>Sun, Hyosung</t>
    <phoneticPr fontId="2" type="noConversion"/>
  </si>
  <si>
    <t>Chae, Yeora</t>
    <phoneticPr fontId="2" type="noConversion"/>
  </si>
  <si>
    <t>조공장</t>
    <phoneticPr fontId="2" type="noConversion"/>
  </si>
  <si>
    <t>Cho, Kongjang</t>
    <phoneticPr fontId="2" type="noConversion"/>
  </si>
  <si>
    <t>사공희</t>
  </si>
  <si>
    <t>Sagong, Hee</t>
    <phoneticPr fontId="2" type="noConversion"/>
  </si>
  <si>
    <t>전동준</t>
  </si>
  <si>
    <t>Chun, Dongjun</t>
    <phoneticPr fontId="2" type="noConversion"/>
  </si>
  <si>
    <t>Shin, Jiyoung</t>
    <phoneticPr fontId="2" type="noConversion"/>
  </si>
  <si>
    <t>Lim, Hyesook</t>
    <phoneticPr fontId="2" type="noConversion"/>
  </si>
  <si>
    <t>박하늘</t>
  </si>
  <si>
    <t>Park, Ha-neul</t>
    <phoneticPr fontId="2" type="noConversion"/>
  </si>
  <si>
    <t>Ha, Jongsik</t>
    <phoneticPr fontId="2" type="noConversion"/>
  </si>
  <si>
    <t>이명진</t>
    <phoneticPr fontId="2" type="noConversion"/>
  </si>
  <si>
    <t>Lee, MoungJin</t>
    <phoneticPr fontId="2" type="noConversion"/>
  </si>
  <si>
    <t>홍현정</t>
    <phoneticPr fontId="2" type="noConversion"/>
  </si>
  <si>
    <t>Hong, Hyunjung</t>
    <phoneticPr fontId="2" type="noConversion"/>
  </si>
  <si>
    <t>Cho, Hanna</t>
    <phoneticPr fontId="2" type="noConversion"/>
  </si>
  <si>
    <t>양일주</t>
    <phoneticPr fontId="2" type="noConversion"/>
  </si>
  <si>
    <t>Yang, Iljoo</t>
    <phoneticPr fontId="2" type="noConversion"/>
  </si>
  <si>
    <t>정선희</t>
  </si>
  <si>
    <t>Jung, Seonhee</t>
    <phoneticPr fontId="2" type="noConversion"/>
  </si>
  <si>
    <t>문준영</t>
    <phoneticPr fontId="2" type="noConversion"/>
  </si>
  <si>
    <t>Moon, Junyoung</t>
    <phoneticPr fontId="2" type="noConversion"/>
  </si>
  <si>
    <t>이상엽</t>
  </si>
  <si>
    <t>Lee, Sangyoup</t>
    <phoneticPr fontId="2" type="noConversion"/>
  </si>
  <si>
    <t>Kim, Hoseok</t>
    <phoneticPr fontId="2" type="noConversion"/>
  </si>
  <si>
    <t>한상운</t>
  </si>
  <si>
    <t>Han, Sangun</t>
    <phoneticPr fontId="2" type="noConversion"/>
  </si>
  <si>
    <t>김태형</t>
    <phoneticPr fontId="2" type="noConversion"/>
  </si>
  <si>
    <t>Kim, Taehyoung</t>
    <phoneticPr fontId="2" type="noConversion"/>
  </si>
  <si>
    <t>임영신</t>
    <phoneticPr fontId="2" type="noConversion"/>
  </si>
  <si>
    <t>Lim, Youngshin</t>
    <phoneticPr fontId="2" type="noConversion"/>
  </si>
  <si>
    <t>이영미</t>
    <phoneticPr fontId="2" type="noConversion"/>
  </si>
  <si>
    <t>Lee, Youngmi</t>
    <phoneticPr fontId="2" type="noConversion"/>
  </si>
  <si>
    <t>Kim, Ikjae</t>
    <phoneticPr fontId="2" type="noConversion"/>
  </si>
  <si>
    <t>Myeong, Soojeong</t>
    <phoneticPr fontId="2" type="noConversion"/>
  </si>
  <si>
    <t>최희선</t>
    <phoneticPr fontId="2" type="noConversion"/>
  </si>
  <si>
    <t>Choi, Hee-Sun</t>
    <phoneticPr fontId="2" type="noConversion"/>
  </si>
  <si>
    <t>Han, Daeho</t>
    <phoneticPr fontId="2" type="noConversion"/>
  </si>
  <si>
    <t>조일현</t>
    <phoneticPr fontId="2" type="noConversion"/>
  </si>
  <si>
    <t>Cho, Ilhyun</t>
    <phoneticPr fontId="2" type="noConversion"/>
  </si>
  <si>
    <t>Shin, Sang-Cheol</t>
    <phoneticPr fontId="2" type="noConversion"/>
  </si>
  <si>
    <t>안종호</t>
    <phoneticPr fontId="2" type="noConversion"/>
  </si>
  <si>
    <t>Ahn, Jongho</t>
    <phoneticPr fontId="2" type="noConversion"/>
  </si>
  <si>
    <t>이진희</t>
    <phoneticPr fontId="2" type="noConversion"/>
  </si>
  <si>
    <t>Lee, Jinhee</t>
    <phoneticPr fontId="2" type="noConversion"/>
  </si>
  <si>
    <t>김영인</t>
    <phoneticPr fontId="2" type="noConversion"/>
  </si>
  <si>
    <t>Kim, Youngin</t>
    <phoneticPr fontId="2" type="noConversion"/>
  </si>
  <si>
    <t>조을생</t>
    <phoneticPr fontId="2" type="noConversion"/>
  </si>
  <si>
    <t>Cho, Eulsaeng</t>
    <phoneticPr fontId="2" type="noConversion"/>
  </si>
  <si>
    <t>심창섭</t>
  </si>
  <si>
    <t>Shim, Changsub</t>
    <phoneticPr fontId="2" type="noConversion"/>
  </si>
  <si>
    <t>이정석</t>
  </si>
  <si>
    <t>Lee, Jeongseok</t>
    <phoneticPr fontId="2" type="noConversion"/>
  </si>
  <si>
    <t>한혜진</t>
    <phoneticPr fontId="2" type="noConversion"/>
  </si>
  <si>
    <t>Han, Haejin</t>
    <phoneticPr fontId="2" type="noConversion"/>
  </si>
  <si>
    <t>Kang, Hyeongsik</t>
    <phoneticPr fontId="2" type="noConversion"/>
  </si>
  <si>
    <t>정휘철</t>
    <phoneticPr fontId="2" type="noConversion"/>
  </si>
  <si>
    <t>Jung, Huicheul</t>
    <phoneticPr fontId="2" type="noConversion"/>
  </si>
  <si>
    <t>Bae, Hyun-Joo</t>
    <phoneticPr fontId="2" type="noConversion"/>
  </si>
  <si>
    <t>김호정</t>
    <phoneticPr fontId="2" type="noConversion"/>
  </si>
  <si>
    <t>Kim, Hojeong</t>
    <phoneticPr fontId="2" type="noConversion"/>
  </si>
  <si>
    <t>정우현</t>
    <phoneticPr fontId="2" type="noConversion"/>
  </si>
  <si>
    <t>Chung, Woo Hyun</t>
    <phoneticPr fontId="2" type="noConversion"/>
  </si>
  <si>
    <t>조지혜</t>
    <phoneticPr fontId="2" type="noConversion"/>
  </si>
  <si>
    <t>Jo, Ji Hye</t>
    <phoneticPr fontId="2" type="noConversion"/>
  </si>
  <si>
    <t>유선희</t>
    <phoneticPr fontId="2" type="noConversion"/>
  </si>
  <si>
    <t>You, Seonhee</t>
    <phoneticPr fontId="2" type="noConversion"/>
  </si>
  <si>
    <t>Hyun, Yunjung</t>
    <phoneticPr fontId="2" type="noConversion"/>
  </si>
  <si>
    <t>Kim, Taeyun</t>
    <phoneticPr fontId="2" type="noConversion"/>
  </si>
  <si>
    <t>강성원</t>
    <phoneticPr fontId="2" type="noConversion"/>
  </si>
  <si>
    <t>Kang, Sungwon</t>
    <phoneticPr fontId="2" type="noConversion"/>
  </si>
  <si>
    <t>오일찬</t>
    <phoneticPr fontId="2" type="noConversion"/>
  </si>
  <si>
    <t>Oh, Ilchan</t>
    <phoneticPr fontId="2" type="noConversion"/>
  </si>
  <si>
    <t>Kang, Taek Goo</t>
    <phoneticPr fontId="2" type="noConversion"/>
  </si>
  <si>
    <t>한국진</t>
  </si>
  <si>
    <t>Hahn, Gukjin</t>
    <phoneticPr fontId="2" type="noConversion"/>
  </si>
  <si>
    <t>최영웅</t>
    <phoneticPr fontId="2" type="noConversion"/>
  </si>
  <si>
    <t>Choi, Youngwoong</t>
    <phoneticPr fontId="2" type="noConversion"/>
  </si>
  <si>
    <t>이승섭</t>
  </si>
  <si>
    <t>Lee, Seoungsup</t>
    <phoneticPr fontId="2" type="noConversion"/>
  </si>
  <si>
    <t>이상윤</t>
    <phoneticPr fontId="2" type="noConversion"/>
  </si>
  <si>
    <t>Lee, Sangyun</t>
    <phoneticPr fontId="2" type="noConversion"/>
  </si>
  <si>
    <t>간순영</t>
  </si>
  <si>
    <t>Gan, Sunyeong</t>
    <phoneticPr fontId="2" type="noConversion"/>
  </si>
  <si>
    <t>천재홍</t>
    <phoneticPr fontId="2" type="noConversion"/>
  </si>
  <si>
    <t>Cheon, Jaehong</t>
    <phoneticPr fontId="2" type="noConversion"/>
  </si>
  <si>
    <t>Yi, Youngjae</t>
    <phoneticPr fontId="2" type="noConversion"/>
  </si>
  <si>
    <t>김대식</t>
    <phoneticPr fontId="2" type="noConversion"/>
  </si>
  <si>
    <t>Kim, Dae Sik</t>
    <phoneticPr fontId="2" type="noConversion"/>
  </si>
  <si>
    <t>이승준</t>
    <phoneticPr fontId="2" type="noConversion"/>
  </si>
  <si>
    <t>Lee, Seungjun</t>
    <phoneticPr fontId="2" type="noConversion"/>
  </si>
  <si>
    <t>장훈</t>
    <phoneticPr fontId="2" type="noConversion"/>
  </si>
  <si>
    <t>Chang, Hoon</t>
    <phoneticPr fontId="2" type="noConversion"/>
  </si>
  <si>
    <t xml:space="preserve">Kim, Taehyun </t>
    <phoneticPr fontId="2" type="noConversion"/>
  </si>
  <si>
    <t>Ryu, Jaena</t>
    <phoneticPr fontId="2" type="noConversion"/>
  </si>
  <si>
    <t>한진석</t>
    <phoneticPr fontId="2" type="noConversion"/>
  </si>
  <si>
    <t>Hahn, Jinseok</t>
    <phoneticPr fontId="2" type="noConversion"/>
  </si>
  <si>
    <t>염기웅</t>
    <phoneticPr fontId="2" type="noConversion"/>
  </si>
  <si>
    <t>Yeom, Kiwoong</t>
    <phoneticPr fontId="2" type="noConversion"/>
  </si>
  <si>
    <t>김충기</t>
    <phoneticPr fontId="2" type="noConversion"/>
  </si>
  <si>
    <t>Kim, Choong-ki</t>
    <phoneticPr fontId="2" type="noConversion"/>
  </si>
  <si>
    <t>Lee, Seungmin</t>
    <phoneticPr fontId="2" type="noConversion"/>
  </si>
  <si>
    <t>공현숙</t>
    <phoneticPr fontId="2" type="noConversion"/>
  </si>
  <si>
    <t>Kong, Hyunsuk</t>
    <phoneticPr fontId="2" type="noConversion"/>
  </si>
  <si>
    <t>박지현</t>
  </si>
  <si>
    <t>Park, Jihyeon</t>
    <phoneticPr fontId="2" type="noConversion"/>
  </si>
  <si>
    <t>강주연</t>
  </si>
  <si>
    <t>Kang, Juyoun</t>
    <phoneticPr fontId="2" type="noConversion"/>
  </si>
  <si>
    <t>조연경</t>
    <phoneticPr fontId="2" type="noConversion"/>
  </si>
  <si>
    <t>Cho, Yeon Kyung</t>
    <phoneticPr fontId="2" type="noConversion"/>
  </si>
  <si>
    <t>이소라</t>
    <phoneticPr fontId="2" type="noConversion"/>
  </si>
  <si>
    <t xml:space="preserve">Yi, Sora </t>
    <phoneticPr fontId="2" type="noConversion"/>
  </si>
  <si>
    <t>Kim, Yumi</t>
    <phoneticPr fontId="2" type="noConversion"/>
  </si>
  <si>
    <t>서은주</t>
  </si>
  <si>
    <t>Seo, Eunju</t>
    <phoneticPr fontId="2" type="noConversion"/>
  </si>
  <si>
    <t>정아영</t>
    <phoneticPr fontId="2" type="noConversion"/>
  </si>
  <si>
    <t>Jeong, Ayoung</t>
    <phoneticPr fontId="2" type="noConversion"/>
  </si>
  <si>
    <t>Kim, Yoonjung</t>
    <phoneticPr fontId="2" type="noConversion"/>
  </si>
  <si>
    <t xml:space="preserve">Kim, Geunhan </t>
    <phoneticPr fontId="2" type="noConversion"/>
  </si>
  <si>
    <t>Son, Seungwoo</t>
    <phoneticPr fontId="2" type="noConversion"/>
  </si>
  <si>
    <t xml:space="preserve">Song, Jiyoon </t>
    <phoneticPr fontId="2" type="noConversion"/>
  </si>
  <si>
    <t>이어진</t>
  </si>
  <si>
    <t>Lee, Eojin</t>
    <phoneticPr fontId="2" type="noConversion"/>
  </si>
  <si>
    <t>서현주</t>
  </si>
  <si>
    <t>Suh, Hyunjoo</t>
    <phoneticPr fontId="2" type="noConversion"/>
  </si>
  <si>
    <t>Kim, Kyoung-Ho</t>
    <phoneticPr fontId="2" type="noConversion"/>
  </si>
  <si>
    <t>양경</t>
    <phoneticPr fontId="2" type="noConversion"/>
  </si>
  <si>
    <t xml:space="preserve">Yang, Kyung </t>
    <phoneticPr fontId="2" type="noConversion"/>
  </si>
  <si>
    <t>Ji, Min-Kyu</t>
    <phoneticPr fontId="2" type="noConversion"/>
  </si>
  <si>
    <t>김현노</t>
    <phoneticPr fontId="2" type="noConversion"/>
  </si>
  <si>
    <t>Kim, Hyunno</t>
    <phoneticPr fontId="2" type="noConversion"/>
  </si>
  <si>
    <t xml:space="preserve">Rhee, Youngjoon </t>
    <phoneticPr fontId="2" type="noConversion"/>
  </si>
  <si>
    <t>안준영</t>
  </si>
  <si>
    <t>An, Junyeong</t>
    <phoneticPr fontId="2" type="noConversion"/>
  </si>
  <si>
    <t xml:space="preserve">Jung, Dawoon </t>
    <phoneticPr fontId="2" type="noConversion"/>
  </si>
  <si>
    <t>박종윤</t>
    <phoneticPr fontId="2" type="noConversion"/>
  </si>
  <si>
    <t>Park, Jongyoon</t>
    <phoneticPr fontId="2" type="noConversion"/>
  </si>
  <si>
    <t>조현주</t>
  </si>
  <si>
    <t>Cho, Hyunju</t>
    <phoneticPr fontId="2" type="noConversion"/>
  </si>
  <si>
    <t>구경아</t>
    <phoneticPr fontId="2" type="noConversion"/>
  </si>
  <si>
    <t xml:space="preserve">Koo, Kyung Ah </t>
    <phoneticPr fontId="2" type="noConversion"/>
  </si>
  <si>
    <t>권선용</t>
    <phoneticPr fontId="2" type="noConversion"/>
  </si>
  <si>
    <t>Kwon, Sunyong</t>
    <phoneticPr fontId="2" type="noConversion"/>
  </si>
  <si>
    <t>이병권</t>
    <phoneticPr fontId="2" type="noConversion"/>
  </si>
  <si>
    <t>Lee, Byungkwon</t>
    <phoneticPr fontId="2" type="noConversion"/>
  </si>
  <si>
    <t>이후승</t>
    <phoneticPr fontId="2" type="noConversion"/>
  </si>
  <si>
    <t>Lee, Who-Seung</t>
    <phoneticPr fontId="2" type="noConversion"/>
  </si>
  <si>
    <t>Shin, Dong Won</t>
    <phoneticPr fontId="2" type="noConversion"/>
  </si>
  <si>
    <t>정선화</t>
    <phoneticPr fontId="2" type="noConversion"/>
  </si>
  <si>
    <t>Jung, Sunhwa</t>
    <phoneticPr fontId="2" type="noConversion"/>
  </si>
  <si>
    <t>진대용</t>
    <phoneticPr fontId="2" type="noConversion"/>
  </si>
  <si>
    <t>Jin, Daeyong</t>
    <phoneticPr fontId="2" type="noConversion"/>
  </si>
  <si>
    <t>최현진</t>
    <phoneticPr fontId="2" type="noConversion"/>
  </si>
  <si>
    <t xml:space="preserve">Choi, Hyun-Jin </t>
    <phoneticPr fontId="2" type="noConversion"/>
  </si>
  <si>
    <t>홍한움</t>
  </si>
  <si>
    <t xml:space="preserve">Hong, Hanwoom  </t>
    <phoneticPr fontId="2" type="noConversion"/>
  </si>
  <si>
    <t>Choi, Ki-Chul</t>
    <phoneticPr fontId="2" type="noConversion"/>
  </si>
  <si>
    <t>김도균</t>
    <phoneticPr fontId="2" type="noConversion"/>
  </si>
  <si>
    <t>Kim, Dokyun</t>
    <phoneticPr fontId="2" type="noConversion"/>
  </si>
  <si>
    <t xml:space="preserve">Ju, Munsol </t>
    <phoneticPr fontId="2" type="noConversion"/>
  </si>
  <si>
    <t xml:space="preserve">Lee, Seungsoo </t>
    <phoneticPr fontId="2" type="noConversion"/>
  </si>
  <si>
    <t>Lee, Moonhwan</t>
    <phoneticPr fontId="2" type="noConversion"/>
  </si>
  <si>
    <t>Jeon, Dongjin</t>
    <phoneticPr fontId="2" type="noConversion"/>
  </si>
  <si>
    <t>양유경</t>
  </si>
  <si>
    <t>Yang, Yookyung</t>
    <phoneticPr fontId="2" type="noConversion"/>
  </si>
  <si>
    <t>Lee, Jae-hyuck</t>
    <phoneticPr fontId="2" type="noConversion"/>
  </si>
  <si>
    <t>염정윤</t>
    <phoneticPr fontId="2" type="noConversion"/>
  </si>
  <si>
    <t>Yum, Jung-yoon</t>
    <phoneticPr fontId="2" type="noConversion"/>
  </si>
  <si>
    <t>Park, Jin-han</t>
    <phoneticPr fontId="2" type="noConversion"/>
  </si>
  <si>
    <t>홍제우</t>
    <phoneticPr fontId="2" type="noConversion"/>
  </si>
  <si>
    <t>Hong, Je-woo</t>
    <phoneticPr fontId="2" type="noConversion"/>
  </si>
  <si>
    <t>박주영</t>
    <phoneticPr fontId="2" type="noConversion"/>
  </si>
  <si>
    <t xml:space="preserve">Park, Juyoung </t>
    <phoneticPr fontId="2" type="noConversion"/>
  </si>
  <si>
    <t>이정원</t>
    <phoneticPr fontId="2" type="noConversion"/>
  </si>
  <si>
    <t>Lee, Jungwon</t>
    <phoneticPr fontId="2" type="noConversion"/>
  </si>
  <si>
    <t>김성진</t>
    <phoneticPr fontId="2" type="noConversion"/>
  </si>
  <si>
    <t>Kim, Sungjin</t>
    <phoneticPr fontId="2" type="noConversion"/>
  </si>
  <si>
    <t>고현지</t>
  </si>
  <si>
    <t>Ko, Hyunji</t>
    <phoneticPr fontId="2" type="noConversion"/>
  </si>
  <si>
    <t>김기현</t>
    <phoneticPr fontId="2" type="noConversion"/>
  </si>
  <si>
    <t>Kim, Kihyun</t>
    <phoneticPr fontId="2" type="noConversion"/>
  </si>
  <si>
    <t>유근혜</t>
  </si>
  <si>
    <t>Yu, Geunhye</t>
    <phoneticPr fontId="2" type="noConversion"/>
  </si>
  <si>
    <t>정기철</t>
    <phoneticPr fontId="2" type="noConversion"/>
  </si>
  <si>
    <t xml:space="preserve">Jung, Kichul </t>
    <phoneticPr fontId="2" type="noConversion"/>
  </si>
  <si>
    <t>Choi, Hyungsik</t>
    <phoneticPr fontId="2" type="noConversion"/>
  </si>
  <si>
    <t>임형우</t>
  </si>
  <si>
    <t xml:space="preserve">Lim, Hyungwoo </t>
    <phoneticPr fontId="2" type="noConversion"/>
  </si>
  <si>
    <t>Lee, Ji-Young</t>
    <phoneticPr fontId="2" type="noConversion"/>
  </si>
  <si>
    <t>박태호</t>
    <phoneticPr fontId="2" type="noConversion"/>
  </si>
  <si>
    <t>Park, Taeho</t>
    <phoneticPr fontId="2" type="noConversion"/>
  </si>
  <si>
    <t>김수홍</t>
  </si>
  <si>
    <t>Kim, Soohong</t>
    <phoneticPr fontId="2" type="noConversion"/>
  </si>
  <si>
    <t>문종우</t>
    <phoneticPr fontId="2" type="noConversion"/>
  </si>
  <si>
    <t xml:space="preserve">Moon, Jongwoo </t>
    <phoneticPr fontId="2" type="noConversion"/>
  </si>
  <si>
    <t>최지은</t>
    <phoneticPr fontId="2" type="noConversion"/>
  </si>
  <si>
    <t xml:space="preserve">Choi, Jieun </t>
    <phoneticPr fontId="2" type="noConversion"/>
  </si>
  <si>
    <t>김연중</t>
    <phoneticPr fontId="2" type="noConversion"/>
  </si>
  <si>
    <t>Kim, Yeonjoong</t>
    <phoneticPr fontId="2" type="noConversion"/>
  </si>
  <si>
    <t>백동해</t>
    <phoneticPr fontId="2" type="noConversion"/>
  </si>
  <si>
    <t>Baek, Donghae</t>
    <phoneticPr fontId="2" type="noConversion"/>
  </si>
  <si>
    <t>이정은</t>
    <phoneticPr fontId="2" type="noConversion"/>
  </si>
  <si>
    <t>Lee, Jeongeun</t>
    <phoneticPr fontId="2" type="noConversion"/>
  </si>
  <si>
    <t>최광훈</t>
    <phoneticPr fontId="2" type="noConversion"/>
  </si>
  <si>
    <t>Choi, Kwanghun</t>
    <phoneticPr fontId="2" type="noConversion"/>
  </si>
  <si>
    <t>최유영</t>
    <phoneticPr fontId="2" type="noConversion"/>
  </si>
  <si>
    <t>Choi, Yuyoung</t>
    <phoneticPr fontId="2" type="noConversion"/>
  </si>
  <si>
    <t>김현규</t>
    <phoneticPr fontId="2" type="noConversion"/>
  </si>
  <si>
    <t xml:space="preserve">Kim, Hyun-gyu </t>
    <phoneticPr fontId="2" type="noConversion"/>
  </si>
  <si>
    <t>한지현</t>
    <phoneticPr fontId="2" type="noConversion"/>
  </si>
  <si>
    <t xml:space="preserve">Han, Jihyun </t>
    <phoneticPr fontId="2" type="noConversion"/>
  </si>
  <si>
    <t>정윤선</t>
    <phoneticPr fontId="2" type="noConversion"/>
  </si>
  <si>
    <t>Jeong, Yunsun</t>
    <phoneticPr fontId="2" type="noConversion"/>
  </si>
  <si>
    <t>김샘이</t>
    <phoneticPr fontId="2" type="noConversion"/>
  </si>
  <si>
    <t>Kim, Saem Yi</t>
    <phoneticPr fontId="2" type="noConversion"/>
  </si>
  <si>
    <t>박지환</t>
    <phoneticPr fontId="2" type="noConversion"/>
  </si>
  <si>
    <t>Park, Jihwan</t>
    <phoneticPr fontId="2" type="noConversion"/>
  </si>
  <si>
    <t>허남주</t>
    <phoneticPr fontId="2" type="noConversion"/>
  </si>
  <si>
    <t xml:space="preserve">Heo, Namjoo </t>
    <phoneticPr fontId="2" type="noConversion"/>
  </si>
  <si>
    <t>김도형</t>
    <phoneticPr fontId="2" type="noConversion"/>
  </si>
  <si>
    <t xml:space="preserve">Kim, Dohyeong </t>
    <phoneticPr fontId="2" type="noConversion"/>
  </si>
  <si>
    <t>서정빈</t>
    <phoneticPr fontId="2" type="noConversion"/>
  </si>
  <si>
    <t xml:space="preserve">Seo, Jeongbyn </t>
    <phoneticPr fontId="2" type="noConversion"/>
  </si>
  <si>
    <t>성경민</t>
    <phoneticPr fontId="2" type="noConversion"/>
  </si>
  <si>
    <t xml:space="preserve">Sung, Kyungmin </t>
    <phoneticPr fontId="2" type="noConversion"/>
  </si>
  <si>
    <t>최미경</t>
    <phoneticPr fontId="2" type="noConversion"/>
  </si>
  <si>
    <t>Choi, Mikyoung</t>
    <phoneticPr fontId="2" type="noConversion"/>
  </si>
  <si>
    <t>오명진</t>
    <phoneticPr fontId="2" type="noConversion"/>
  </si>
  <si>
    <t xml:space="preserve">Oh, Myoungjin </t>
    <phoneticPr fontId="2" type="noConversion"/>
  </si>
  <si>
    <t>임미영</t>
    <phoneticPr fontId="2" type="noConversion"/>
  </si>
  <si>
    <t xml:space="preserve"> Lim, Miyoung</t>
    <phoneticPr fontId="2" type="noConversion"/>
  </si>
  <si>
    <t>김현정</t>
    <phoneticPr fontId="2" type="noConversion"/>
  </si>
  <si>
    <t xml:space="preserve">Kim, Hyunjung </t>
    <phoneticPr fontId="2" type="noConversion"/>
  </si>
  <si>
    <t>김효겸</t>
    <phoneticPr fontId="2" type="noConversion"/>
  </si>
  <si>
    <t>Kim, Hyo Gyeom</t>
    <phoneticPr fontId="2" type="noConversion"/>
  </si>
  <si>
    <t>윤석환</t>
  </si>
  <si>
    <t>Yun, Seokhwan</t>
    <phoneticPr fontId="2" type="noConversion"/>
  </si>
  <si>
    <t>곽진희</t>
    <phoneticPr fontId="2" type="noConversion"/>
  </si>
  <si>
    <t>Kwak, Jinhee</t>
    <phoneticPr fontId="2" type="noConversion"/>
  </si>
  <si>
    <t>김홍균</t>
    <phoneticPr fontId="2" type="noConversion"/>
  </si>
  <si>
    <t>Kim, Hongkyun</t>
    <phoneticPr fontId="2" type="noConversion"/>
  </si>
  <si>
    <t>이해미</t>
  </si>
  <si>
    <t xml:space="preserve">Lee, Haemi </t>
    <phoneticPr fontId="2" type="noConversion"/>
  </si>
  <si>
    <t>박송미</t>
  </si>
  <si>
    <t>Park, Songmi</t>
    <phoneticPr fontId="2" type="noConversion"/>
  </si>
  <si>
    <t>김유훈</t>
  </si>
  <si>
    <t>Kim, Yuhoon</t>
    <phoneticPr fontId="2" type="noConversion"/>
  </si>
  <si>
    <t>이준범</t>
  </si>
  <si>
    <t>Lee, Junbeom</t>
    <phoneticPr fontId="2" type="noConversion"/>
  </si>
  <si>
    <t>양태경</t>
  </si>
  <si>
    <t>Yang, Taegyeong</t>
    <phoneticPr fontId="2" type="noConversion"/>
  </si>
  <si>
    <t>박현주</t>
  </si>
  <si>
    <t>Park, Hyunjoo</t>
    <phoneticPr fontId="2" type="noConversion"/>
  </si>
  <si>
    <t>김선경</t>
  </si>
  <si>
    <t>Kim, Sunkyung</t>
    <phoneticPr fontId="2" type="noConversion"/>
  </si>
  <si>
    <t>박진택</t>
  </si>
  <si>
    <t>Park, Jintaek</t>
    <phoneticPr fontId="2" type="noConversion"/>
  </si>
  <si>
    <t>윤종휘</t>
    <phoneticPr fontId="2" type="noConversion"/>
  </si>
  <si>
    <t>Yun, Jong-Hwui</t>
    <phoneticPr fontId="2" type="noConversion"/>
  </si>
  <si>
    <t>이상혁</t>
  </si>
  <si>
    <t>Lee, Sanghyeok</t>
    <phoneticPr fontId="2" type="noConversion"/>
  </si>
  <si>
    <t>이상민</t>
    <phoneticPr fontId="2" type="noConversion"/>
  </si>
  <si>
    <t>Lee, Sang Min</t>
    <phoneticPr fontId="2" type="noConversion"/>
  </si>
  <si>
    <t>정해상</t>
    <phoneticPr fontId="2" type="noConversion"/>
  </si>
  <si>
    <t>Jeong, Haesang</t>
    <phoneticPr fontId="2" type="noConversion"/>
  </si>
  <si>
    <t>김우정</t>
    <phoneticPr fontId="2" type="noConversion"/>
  </si>
  <si>
    <t>Kim, Woo Jeong</t>
    <phoneticPr fontId="2" type="noConversion"/>
  </si>
  <si>
    <t>강태운</t>
    <phoneticPr fontId="2" type="noConversion"/>
  </si>
  <si>
    <t>Kang, Taeun</t>
    <phoneticPr fontId="2" type="noConversion"/>
  </si>
  <si>
    <t>송제희</t>
    <phoneticPr fontId="2" type="noConversion"/>
  </si>
  <si>
    <t>Song, Je Hui</t>
    <phoneticPr fontId="2" type="noConversion"/>
  </si>
  <si>
    <t>전윤호</t>
    <phoneticPr fontId="2" type="noConversion"/>
  </si>
  <si>
    <t>Jeon, Yoonho</t>
    <phoneticPr fontId="2" type="noConversion"/>
  </si>
  <si>
    <t>김강선</t>
    <phoneticPr fontId="2" type="noConversion"/>
  </si>
  <si>
    <t>Kim, Gangsun</t>
    <phoneticPr fontId="2" type="noConversion"/>
  </si>
  <si>
    <t>김아라</t>
    <phoneticPr fontId="2" type="noConversion"/>
  </si>
  <si>
    <t xml:space="preserve">Kim, Ara </t>
    <phoneticPr fontId="2" type="noConversion"/>
  </si>
  <si>
    <t>오후</t>
    <phoneticPr fontId="2" type="noConversion"/>
  </si>
  <si>
    <t>Oh, Hoo</t>
    <phoneticPr fontId="2" type="noConversion"/>
  </si>
  <si>
    <t>박샘</t>
    <phoneticPr fontId="2" type="noConversion"/>
  </si>
  <si>
    <t>Park, Sam</t>
    <phoneticPr fontId="2" type="noConversion"/>
  </si>
  <si>
    <t>이가원</t>
    <phoneticPr fontId="2" type="noConversion"/>
  </si>
  <si>
    <t xml:space="preserve">Lee, Khawon </t>
    <phoneticPr fontId="2" type="noConversion"/>
  </si>
  <si>
    <t>임갑율</t>
    <phoneticPr fontId="2" type="noConversion"/>
  </si>
  <si>
    <t>Lim, Gabyul</t>
    <phoneticPr fontId="2" type="noConversion"/>
  </si>
  <si>
    <t>유재신</t>
    <phoneticPr fontId="2" type="noConversion"/>
  </si>
  <si>
    <t>Yoo, Jaeshin</t>
    <phoneticPr fontId="2" type="noConversion"/>
  </si>
  <si>
    <t>김재영</t>
    <phoneticPr fontId="2" type="noConversion"/>
  </si>
  <si>
    <t>Kim, Jaeyoung</t>
    <phoneticPr fontId="2" type="noConversion"/>
  </si>
  <si>
    <t>이세호</t>
    <phoneticPr fontId="2" type="noConversion"/>
  </si>
  <si>
    <t>Lee, Seho</t>
    <phoneticPr fontId="2" type="noConversion"/>
  </si>
  <si>
    <t>강예지</t>
    <phoneticPr fontId="2" type="noConversion"/>
  </si>
  <si>
    <t>Kang, Yeji</t>
    <phoneticPr fontId="2" type="noConversion"/>
  </si>
  <si>
    <t>전정은</t>
    <phoneticPr fontId="2" type="noConversion"/>
  </si>
  <si>
    <t>Jeon, Jeongeun</t>
    <phoneticPr fontId="2" type="noConversion"/>
  </si>
  <si>
    <t>김주현</t>
    <phoneticPr fontId="2" type="noConversion"/>
  </si>
  <si>
    <t>Kim, Juhyeon</t>
    <phoneticPr fontId="2" type="noConversion"/>
  </si>
  <si>
    <t>신소영</t>
    <phoneticPr fontId="2" type="noConversion"/>
  </si>
  <si>
    <t>Shin, Soyoung</t>
    <phoneticPr fontId="2" type="noConversion"/>
  </si>
  <si>
    <t>박수빈</t>
    <phoneticPr fontId="2" type="noConversion"/>
  </si>
  <si>
    <t>Park, Subin</t>
    <phoneticPr fontId="2" type="noConversion"/>
  </si>
  <si>
    <t>이경은</t>
    <phoneticPr fontId="2" type="noConversion"/>
  </si>
  <si>
    <t xml:space="preserve">Lee, KyoungEun </t>
    <phoneticPr fontId="2" type="noConversion"/>
  </si>
  <si>
    <t>이아람</t>
    <phoneticPr fontId="2" type="noConversion"/>
  </si>
  <si>
    <t>Lee, Aram</t>
    <phoneticPr fontId="2" type="noConversion"/>
  </si>
  <si>
    <t>이모세</t>
    <phoneticPr fontId="2" type="noConversion"/>
  </si>
  <si>
    <t>Lee, Mose</t>
    <phoneticPr fontId="2" type="noConversion"/>
  </si>
  <si>
    <t>강민근</t>
    <phoneticPr fontId="2" type="noConversion"/>
  </si>
  <si>
    <t>Kang, Mingeun</t>
    <phoneticPr fontId="2" type="noConversion"/>
  </si>
  <si>
    <t>도세원</t>
    <phoneticPr fontId="2" type="noConversion"/>
  </si>
  <si>
    <t>Do, SeWon</t>
    <phoneticPr fontId="2" type="noConversion"/>
  </si>
  <si>
    <t>류환희</t>
  </si>
  <si>
    <t>Ryu, Hwanhee</t>
    <phoneticPr fontId="2" type="noConversion"/>
  </si>
  <si>
    <t>유혜연</t>
    <phoneticPr fontId="2" type="noConversion"/>
  </si>
  <si>
    <t xml:space="preserve">Yu, Hyeyeon </t>
    <phoneticPr fontId="2" type="noConversion"/>
  </si>
  <si>
    <t>김규빈</t>
    <phoneticPr fontId="2" type="noConversion"/>
  </si>
  <si>
    <t>Kim, Kyubeen</t>
    <phoneticPr fontId="2" type="noConversion"/>
  </si>
  <si>
    <t>오정모</t>
    <phoneticPr fontId="2" type="noConversion"/>
  </si>
  <si>
    <t>Oh, JeongMo</t>
    <phoneticPr fontId="2" type="noConversion"/>
  </si>
  <si>
    <t>정봉석</t>
    <phoneticPr fontId="2" type="noConversion"/>
  </si>
  <si>
    <t>Jeong, Bongseok</t>
    <phoneticPr fontId="2" type="noConversion"/>
  </si>
  <si>
    <t>문소희</t>
    <phoneticPr fontId="2" type="noConversion"/>
  </si>
  <si>
    <t>Moon, Sohee</t>
    <phoneticPr fontId="2" type="noConversion"/>
  </si>
  <si>
    <t>양정현</t>
    <phoneticPr fontId="2" type="noConversion"/>
  </si>
  <si>
    <t>Yang, Jeong Hyun</t>
    <phoneticPr fontId="2" type="noConversion"/>
  </si>
  <si>
    <t>김관목</t>
    <phoneticPr fontId="2" type="noConversion"/>
  </si>
  <si>
    <t xml:space="preserve">Kim, Kwanmok </t>
    <phoneticPr fontId="2" type="noConversion"/>
  </si>
  <si>
    <t>이길상</t>
  </si>
  <si>
    <t>Lee, Gilsang</t>
    <phoneticPr fontId="2" type="noConversion"/>
  </si>
  <si>
    <t>박현수</t>
    <phoneticPr fontId="2" type="noConversion"/>
  </si>
  <si>
    <t>Park, Hyeonsoo</t>
    <phoneticPr fontId="2" type="noConversion"/>
  </si>
  <si>
    <t>이경원</t>
    <phoneticPr fontId="2" type="noConversion"/>
  </si>
  <si>
    <t xml:space="preserve">Lee, Kyungwon </t>
    <phoneticPr fontId="2" type="noConversion"/>
  </si>
  <si>
    <t>신정원</t>
    <phoneticPr fontId="2" type="noConversion"/>
  </si>
  <si>
    <t>Shin, Jungwon</t>
    <phoneticPr fontId="2" type="noConversion"/>
  </si>
  <si>
    <t>김은재</t>
    <phoneticPr fontId="2" type="noConversion"/>
  </si>
  <si>
    <t xml:space="preserve">Kim, Eunjae </t>
    <phoneticPr fontId="2" type="noConversion"/>
  </si>
  <si>
    <t>김승기</t>
  </si>
  <si>
    <t>Kim, Seunggi</t>
    <phoneticPr fontId="2" type="noConversion"/>
  </si>
  <si>
    <t>고예진</t>
    <phoneticPr fontId="2" type="noConversion"/>
  </si>
  <si>
    <t>Ko, yejin</t>
    <phoneticPr fontId="2" type="noConversion"/>
  </si>
  <si>
    <t>변서현</t>
    <phoneticPr fontId="2" type="noConversion"/>
  </si>
  <si>
    <t>Byeon, Seohyun</t>
    <phoneticPr fontId="2" type="noConversion"/>
  </si>
  <si>
    <t>강란희</t>
    <phoneticPr fontId="2" type="noConversion"/>
  </si>
  <si>
    <t>Kang, Ranhee</t>
    <phoneticPr fontId="2" type="noConversion"/>
  </si>
  <si>
    <t>이은비</t>
  </si>
  <si>
    <t xml:space="preserve">Lee, Eunbi </t>
    <phoneticPr fontId="2" type="noConversion"/>
  </si>
  <si>
    <t>강은옥</t>
    <phoneticPr fontId="2" type="noConversion"/>
  </si>
  <si>
    <t>Kang, Eunok</t>
    <phoneticPr fontId="2" type="noConversion"/>
  </si>
  <si>
    <t>허준봉</t>
    <phoneticPr fontId="2" type="noConversion"/>
  </si>
  <si>
    <t>Heo, JunBong</t>
    <phoneticPr fontId="2" type="noConversion"/>
  </si>
  <si>
    <t>이현선</t>
    <phoneticPr fontId="2" type="noConversion"/>
  </si>
  <si>
    <t>Lee, Hyun Seon</t>
    <phoneticPr fontId="2" type="noConversion"/>
  </si>
  <si>
    <t>김현지</t>
    <phoneticPr fontId="2" type="noConversion"/>
  </si>
  <si>
    <t xml:space="preserve">Kim, Hyun Ji </t>
    <phoneticPr fontId="2" type="noConversion"/>
  </si>
  <si>
    <t>김성현</t>
    <phoneticPr fontId="2" type="noConversion"/>
  </si>
  <si>
    <t xml:space="preserve"> Kim, Seonghyeon</t>
    <phoneticPr fontId="2" type="noConversion"/>
  </si>
  <si>
    <t>이성숙</t>
    <phoneticPr fontId="2" type="noConversion"/>
  </si>
  <si>
    <t>Lee, Seongsuk</t>
    <phoneticPr fontId="2" type="noConversion"/>
  </si>
  <si>
    <t>김하정</t>
    <phoneticPr fontId="2" type="noConversion"/>
  </si>
  <si>
    <t>Kim, Hajung</t>
    <phoneticPr fontId="2" type="noConversion"/>
  </si>
  <si>
    <t>육지희</t>
    <phoneticPr fontId="2" type="noConversion"/>
  </si>
  <si>
    <t>Yuk, Jeehee</t>
    <phoneticPr fontId="2" type="noConversion"/>
  </si>
  <si>
    <t>김유진</t>
    <phoneticPr fontId="2" type="noConversion"/>
  </si>
  <si>
    <t>Kim, Youjin</t>
    <phoneticPr fontId="2" type="noConversion"/>
  </si>
  <si>
    <t>황무동</t>
    <phoneticPr fontId="2" type="noConversion"/>
  </si>
  <si>
    <t>Hwang, Mudong</t>
    <phoneticPr fontId="2" type="noConversion"/>
  </si>
  <si>
    <t>류은혜</t>
    <phoneticPr fontId="2" type="noConversion"/>
  </si>
  <si>
    <t>Ryu, Eun Hye</t>
    <phoneticPr fontId="2" type="noConversion"/>
  </si>
  <si>
    <t>최수빈</t>
    <phoneticPr fontId="2" type="noConversion"/>
  </si>
  <si>
    <t>Choi, Subin</t>
    <phoneticPr fontId="2" type="noConversion"/>
  </si>
  <si>
    <t>홍지연</t>
    <phoneticPr fontId="2" type="noConversion"/>
  </si>
  <si>
    <t>Hong, Jiyeon</t>
    <phoneticPr fontId="2" type="noConversion"/>
  </si>
  <si>
    <t>전설</t>
    <phoneticPr fontId="2" type="noConversion"/>
  </si>
  <si>
    <t xml:space="preserve">Jeon, Seol </t>
    <phoneticPr fontId="2" type="noConversion"/>
  </si>
  <si>
    <t>김동범</t>
    <phoneticPr fontId="2" type="noConversion"/>
  </si>
  <si>
    <t>Kim, Dongbeom</t>
    <phoneticPr fontId="2" type="noConversion"/>
  </si>
  <si>
    <t>이승해</t>
    <phoneticPr fontId="2" type="noConversion"/>
  </si>
  <si>
    <t>Lee, Seunghae</t>
    <phoneticPr fontId="2" type="noConversion"/>
  </si>
  <si>
    <t>박주현</t>
    <phoneticPr fontId="2" type="noConversion"/>
  </si>
  <si>
    <t>Park, Joohyun</t>
    <phoneticPr fontId="2" type="noConversion"/>
  </si>
  <si>
    <t>김지우</t>
    <phoneticPr fontId="2" type="noConversion"/>
  </si>
  <si>
    <t>Kim, Jiwoo</t>
    <phoneticPr fontId="2" type="noConversion"/>
  </si>
  <si>
    <t>윤현빈</t>
    <phoneticPr fontId="2" type="noConversion"/>
  </si>
  <si>
    <t xml:space="preserve">Yoon, Hyunbin </t>
    <phoneticPr fontId="2" type="noConversion"/>
  </si>
  <si>
    <t>김희준</t>
    <phoneticPr fontId="2" type="noConversion"/>
  </si>
  <si>
    <t xml:space="preserve">Kim, Heejun </t>
    <phoneticPr fontId="2" type="noConversion"/>
  </si>
  <si>
    <t>정성용</t>
    <phoneticPr fontId="2" type="noConversion"/>
  </si>
  <si>
    <t>Jung, Sungyong</t>
    <phoneticPr fontId="2" type="noConversion"/>
  </si>
  <si>
    <t>이정우</t>
    <phoneticPr fontId="2" type="noConversion"/>
  </si>
  <si>
    <t>Lee, Jeong U</t>
    <phoneticPr fontId="2" type="noConversion"/>
  </si>
  <si>
    <t>김아린</t>
    <phoneticPr fontId="2" type="noConversion"/>
  </si>
  <si>
    <t>Kim, Arin</t>
    <phoneticPr fontId="2" type="noConversion"/>
  </si>
  <si>
    <t>성열</t>
    <phoneticPr fontId="2" type="noConversion"/>
  </si>
  <si>
    <t>Sung, Yeol</t>
    <phoneticPr fontId="2" type="noConversion"/>
  </si>
  <si>
    <t>고도연</t>
    <phoneticPr fontId="2" type="noConversion"/>
  </si>
  <si>
    <t xml:space="preserve">Ko, Doyeon </t>
    <phoneticPr fontId="2" type="noConversion"/>
  </si>
  <si>
    <t>구본아</t>
    <phoneticPr fontId="2" type="noConversion"/>
  </si>
  <si>
    <t xml:space="preserve">Ku, Bona </t>
    <phoneticPr fontId="2" type="noConversion"/>
  </si>
  <si>
    <t>이지우</t>
    <phoneticPr fontId="2" type="noConversion"/>
  </si>
  <si>
    <t>Lee, Jiwoo</t>
    <phoneticPr fontId="2" type="noConversion"/>
  </si>
  <si>
    <t>현지민</t>
    <phoneticPr fontId="2" type="noConversion"/>
  </si>
  <si>
    <t xml:space="preserve">Hyun, Ji Min </t>
    <phoneticPr fontId="2" type="noConversion"/>
  </si>
  <si>
    <t>이현지</t>
    <phoneticPr fontId="2" type="noConversion"/>
  </si>
  <si>
    <t>Lee, Hyunji</t>
    <phoneticPr fontId="2" type="noConversion"/>
  </si>
  <si>
    <t>노준아</t>
    <phoneticPr fontId="2" type="noConversion"/>
  </si>
  <si>
    <t>Noh, Juna</t>
    <phoneticPr fontId="2" type="noConversion"/>
  </si>
  <si>
    <t>황세원</t>
    <phoneticPr fontId="2" type="noConversion"/>
  </si>
  <si>
    <t>Hwang, Sewon</t>
    <phoneticPr fontId="2" type="noConversion"/>
  </si>
  <si>
    <t>김지현</t>
  </si>
  <si>
    <t>Kim, Jihyun</t>
    <phoneticPr fontId="2" type="noConversion"/>
  </si>
  <si>
    <t>오효경</t>
    <phoneticPr fontId="2" type="noConversion"/>
  </si>
  <si>
    <t>Oh, Hyokyung</t>
    <phoneticPr fontId="2" type="noConversion"/>
  </si>
  <si>
    <t>정주현</t>
  </si>
  <si>
    <t>Jeong, Juhyeon</t>
    <phoneticPr fontId="2" type="noConversion"/>
  </si>
  <si>
    <t>김희영</t>
    <phoneticPr fontId="2" type="noConversion"/>
  </si>
  <si>
    <t>Kim, Heeyoung</t>
    <phoneticPr fontId="2" type="noConversion"/>
  </si>
  <si>
    <t>김정두</t>
  </si>
  <si>
    <t>Kim, Jeongdu</t>
    <phoneticPr fontId="2" type="noConversion"/>
  </si>
  <si>
    <t>홍승혜</t>
    <phoneticPr fontId="2" type="noConversion"/>
  </si>
  <si>
    <t>Hong, Seunghye</t>
    <phoneticPr fontId="2" type="noConversion"/>
  </si>
  <si>
    <t>전지예</t>
    <phoneticPr fontId="2" type="noConversion"/>
  </si>
  <si>
    <t>Jeon, Jiyea</t>
    <phoneticPr fontId="2" type="noConversion"/>
  </si>
  <si>
    <t>김현우</t>
    <phoneticPr fontId="2" type="noConversion"/>
  </si>
  <si>
    <t>Kim, Hyunwoo</t>
    <phoneticPr fontId="2" type="noConversion"/>
  </si>
  <si>
    <t>제정은</t>
    <phoneticPr fontId="2" type="noConversion"/>
  </si>
  <si>
    <t>Je, Jeongeun</t>
    <phoneticPr fontId="2" type="noConversion"/>
  </si>
  <si>
    <t>양승수</t>
    <phoneticPr fontId="2" type="noConversion"/>
  </si>
  <si>
    <t>Yang, Seungsu</t>
    <phoneticPr fontId="2" type="noConversion"/>
  </si>
  <si>
    <t>구영일</t>
  </si>
  <si>
    <t>Koo, Youngil</t>
    <phoneticPr fontId="2" type="noConversion"/>
  </si>
  <si>
    <t>김민하</t>
    <phoneticPr fontId="2" type="noConversion"/>
  </si>
  <si>
    <t>Kim, Minha</t>
    <phoneticPr fontId="2" type="noConversion"/>
  </si>
  <si>
    <t>서은희</t>
    <phoneticPr fontId="2" type="noConversion"/>
  </si>
  <si>
    <t>Seo, Eunhee</t>
    <phoneticPr fontId="2" type="noConversion"/>
  </si>
  <si>
    <t>이소앙</t>
  </si>
  <si>
    <t>Lee, Soang</t>
    <phoneticPr fontId="2" type="noConversion"/>
  </si>
  <si>
    <t>이은영</t>
    <phoneticPr fontId="2" type="noConversion"/>
  </si>
  <si>
    <t>Lee, Eunyoung</t>
    <phoneticPr fontId="2" type="noConversion"/>
  </si>
  <si>
    <t>이홍림</t>
  </si>
  <si>
    <t>Lee, Honglim</t>
    <phoneticPr fontId="2" type="noConversion"/>
  </si>
  <si>
    <t>정은혜</t>
    <phoneticPr fontId="2" type="noConversion"/>
  </si>
  <si>
    <t>Jung, Eunhye</t>
    <phoneticPr fontId="2" type="noConversion"/>
  </si>
  <si>
    <t>김수빈</t>
    <phoneticPr fontId="2" type="noConversion"/>
  </si>
  <si>
    <t>Kim, Suebean</t>
    <phoneticPr fontId="2" type="noConversion"/>
  </si>
  <si>
    <t>정슬기</t>
  </si>
  <si>
    <t xml:space="preserve"> Jeong, Seulgi</t>
    <phoneticPr fontId="2" type="noConversion"/>
  </si>
  <si>
    <t xml:space="preserve">Kim, Doyeon </t>
    <phoneticPr fontId="2" type="noConversion"/>
  </si>
  <si>
    <t>강선아</t>
    <phoneticPr fontId="2" type="noConversion"/>
  </si>
  <si>
    <t xml:space="preserve">Kang, Suna </t>
    <phoneticPr fontId="2" type="noConversion"/>
  </si>
  <si>
    <t>Lee, Sunmin</t>
    <phoneticPr fontId="2" type="noConversion"/>
  </si>
  <si>
    <t>서지현</t>
  </si>
  <si>
    <t>Seo, Jihyun</t>
    <phoneticPr fontId="2" type="noConversion"/>
  </si>
  <si>
    <t>손성희</t>
    <phoneticPr fontId="2" type="noConversion"/>
  </si>
  <si>
    <t>Son, Sunghee</t>
    <phoneticPr fontId="2" type="noConversion"/>
  </si>
  <si>
    <t>이기민</t>
    <phoneticPr fontId="2" type="noConversion"/>
  </si>
  <si>
    <t>Lee, Kimin</t>
    <phoneticPr fontId="2" type="noConversion"/>
  </si>
  <si>
    <t>이다란</t>
  </si>
  <si>
    <t>Lee, Daran</t>
    <phoneticPr fontId="2" type="noConversion"/>
  </si>
  <si>
    <t>장혜정</t>
  </si>
  <si>
    <t>Jang, Hyejung</t>
    <phoneticPr fontId="2" type="noConversion"/>
  </si>
  <si>
    <t>최정욱</t>
  </si>
  <si>
    <t>Choi, Jungwook</t>
    <phoneticPr fontId="2" type="noConversion"/>
  </si>
  <si>
    <t>경명수</t>
    <phoneticPr fontId="2" type="noConversion"/>
  </si>
  <si>
    <t xml:space="preserve">Kyung, Myeongsu </t>
    <phoneticPr fontId="2" type="noConversion"/>
  </si>
  <si>
    <t>김교범</t>
  </si>
  <si>
    <t>Kim, Kyobum</t>
    <phoneticPr fontId="2" type="noConversion"/>
  </si>
  <si>
    <t>나건수</t>
    <phoneticPr fontId="2" type="noConversion"/>
  </si>
  <si>
    <t>Na, Geonsoo</t>
    <phoneticPr fontId="2" type="noConversion"/>
  </si>
  <si>
    <t>이지예</t>
  </si>
  <si>
    <t>Lee, Jiye</t>
    <phoneticPr fontId="2" type="noConversion"/>
  </si>
  <si>
    <t>조윤랑</t>
    <phoneticPr fontId="2" type="noConversion"/>
  </si>
  <si>
    <t>Cho, Yoonrang</t>
    <phoneticPr fontId="2" type="noConversion"/>
  </si>
  <si>
    <t>차은지</t>
    <phoneticPr fontId="2" type="noConversion"/>
  </si>
  <si>
    <t>Cha, Eun-Jee</t>
    <phoneticPr fontId="2" type="noConversion"/>
  </si>
  <si>
    <t>홍우경</t>
    <phoneticPr fontId="2" type="noConversion"/>
  </si>
  <si>
    <t>Hong, Wookyoung</t>
    <phoneticPr fontId="2" type="noConversion"/>
  </si>
  <si>
    <t>전진우</t>
  </si>
  <si>
    <t>Jeon, Jinwoo</t>
    <phoneticPr fontId="2" type="noConversion"/>
  </si>
  <si>
    <t>황보은</t>
  </si>
  <si>
    <t>Hwang, Boeun</t>
    <phoneticPr fontId="2" type="noConversion"/>
  </si>
  <si>
    <t>윤민지</t>
  </si>
  <si>
    <t>Yun, Minji</t>
    <phoneticPr fontId="2" type="noConversion"/>
  </si>
  <si>
    <t>양준모</t>
  </si>
  <si>
    <t>Yang, Junmo</t>
    <phoneticPr fontId="2" type="noConversion"/>
  </si>
  <si>
    <t>김준성</t>
    <phoneticPr fontId="2" type="noConversion"/>
  </si>
  <si>
    <t xml:space="preserve">Kim, Junsung </t>
    <phoneticPr fontId="2" type="noConversion"/>
  </si>
  <si>
    <t>김지훈</t>
    <phoneticPr fontId="2" type="noConversion"/>
  </si>
  <si>
    <t>Kim, Jihun</t>
    <phoneticPr fontId="2" type="noConversion"/>
  </si>
  <si>
    <t>전자영</t>
    <phoneticPr fontId="2" type="noConversion"/>
  </si>
  <si>
    <t>Jeon, Jayoung</t>
    <phoneticPr fontId="2" type="noConversion"/>
  </si>
  <si>
    <t>권성훈</t>
  </si>
  <si>
    <t>Kwon, Sunghun</t>
    <phoneticPr fontId="2" type="noConversion"/>
  </si>
  <si>
    <t>김민정</t>
    <phoneticPr fontId="2" type="noConversion"/>
  </si>
  <si>
    <t>Kim, Minjung</t>
    <phoneticPr fontId="2" type="noConversion"/>
  </si>
  <si>
    <t>김도윤</t>
    <phoneticPr fontId="2" type="noConversion"/>
  </si>
  <si>
    <t>Kim, Doyoon</t>
    <phoneticPr fontId="2" type="noConversion"/>
  </si>
  <si>
    <t>정도일</t>
    <phoneticPr fontId="2" type="noConversion"/>
  </si>
  <si>
    <t>Jeong, Doil</t>
    <phoneticPr fontId="2" type="noConversion"/>
  </si>
  <si>
    <t>고인철</t>
  </si>
  <si>
    <t>Go, Inchul</t>
    <phoneticPr fontId="2" type="noConversion"/>
  </si>
  <si>
    <t>조영일</t>
    <phoneticPr fontId="2" type="noConversion"/>
  </si>
  <si>
    <t xml:space="preserve"> Cho, Youngil</t>
    <phoneticPr fontId="2" type="noConversion"/>
  </si>
  <si>
    <t>정하늘</t>
    <phoneticPr fontId="2" type="noConversion"/>
  </si>
  <si>
    <t xml:space="preserve">Jung, Hanul </t>
    <phoneticPr fontId="2" type="noConversion"/>
  </si>
  <si>
    <t>배국표</t>
    <phoneticPr fontId="2" type="noConversion"/>
  </si>
  <si>
    <t>Pae, Kookpyo</t>
    <phoneticPr fontId="2" type="noConversion"/>
  </si>
  <si>
    <t>이수재</t>
    <phoneticPr fontId="2" type="noConversion"/>
  </si>
  <si>
    <t>Lee, Soojae</t>
    <phoneticPr fontId="2" type="noConversion"/>
  </si>
  <si>
    <t>Gong, Sungyong</t>
    <phoneticPr fontId="2" type="noConversion"/>
  </si>
  <si>
    <t>이병국</t>
    <phoneticPr fontId="2" type="noConversion"/>
  </si>
  <si>
    <t>Lee, Byungkook</t>
    <phoneticPr fontId="2" type="noConversion"/>
  </si>
  <si>
    <t>Song, Youngil</t>
    <phoneticPr fontId="2" type="noConversion"/>
  </si>
  <si>
    <t>문현주</t>
  </si>
  <si>
    <t>Moon, Hyunjoo</t>
    <phoneticPr fontId="2" type="noConversion"/>
  </si>
  <si>
    <t>이영준</t>
  </si>
  <si>
    <t>Lee, Youngjoon</t>
    <phoneticPr fontId="2" type="noConversion"/>
  </si>
  <si>
    <t>유헌석</t>
    <phoneticPr fontId="2" type="noConversion"/>
  </si>
  <si>
    <t>Yoo, Heonseok</t>
    <phoneticPr fontId="2" type="noConversion"/>
  </si>
  <si>
    <t>김택건</t>
    <phoneticPr fontId="2" type="noConversion"/>
  </si>
  <si>
    <t>Kim, Taeg Keon</t>
    <phoneticPr fontId="2" type="noConversion"/>
  </si>
  <si>
    <t>김태우</t>
    <phoneticPr fontId="2" type="noConversion"/>
  </si>
  <si>
    <t>이지민</t>
    <phoneticPr fontId="2" type="noConversion"/>
  </si>
  <si>
    <t>Lee, Jimin</t>
    <phoneticPr fontId="2" type="noConversion"/>
  </si>
  <si>
    <t>이주양</t>
    <phoneticPr fontId="2" type="noConversion"/>
  </si>
  <si>
    <t xml:space="preserve">Lee, Juyang </t>
    <phoneticPr fontId="2" type="noConversion"/>
  </si>
  <si>
    <t>노정담</t>
    <phoneticPr fontId="2" type="noConversion"/>
  </si>
  <si>
    <t xml:space="preserve">Noh, Jeongdam </t>
    <phoneticPr fontId="2" type="noConversion"/>
  </si>
  <si>
    <t>권예진</t>
    <phoneticPr fontId="2" type="noConversion"/>
  </si>
  <si>
    <t>Kwon, Yejin</t>
    <phoneticPr fontId="2" type="noConversion"/>
  </si>
  <si>
    <t>신경희</t>
    <phoneticPr fontId="2" type="noConversion"/>
  </si>
  <si>
    <t>Shin, Kyunghee</t>
  </si>
  <si>
    <t>박준현</t>
    <phoneticPr fontId="2" type="noConversion"/>
  </si>
  <si>
    <t>Park, Jun Hyun</t>
  </si>
  <si>
    <t>정벼리</t>
    <phoneticPr fontId="2" type="noConversion"/>
  </si>
  <si>
    <t>Jung, Byuree</t>
  </si>
  <si>
    <t>정성운</t>
    <phoneticPr fontId="2" type="noConversion"/>
  </si>
  <si>
    <t>Jung, Sungwoon</t>
  </si>
  <si>
    <t>공지영</t>
    <phoneticPr fontId="2" type="noConversion"/>
  </si>
  <si>
    <t>Gong, Jiyoung</t>
  </si>
  <si>
    <t>서양원</t>
    <phoneticPr fontId="2" type="noConversion"/>
  </si>
  <si>
    <t>Suh, Yang-won</t>
    <phoneticPr fontId="2" type="noConversion"/>
  </si>
  <si>
    <t>김이진</t>
    <phoneticPr fontId="2" type="noConversion"/>
  </si>
  <si>
    <t>Kim, Leejin</t>
  </si>
  <si>
    <t>Park, Chang Sug</t>
  </si>
  <si>
    <t>송슬기</t>
  </si>
  <si>
    <t>Song, Seulki</t>
  </si>
  <si>
    <t>손철희</t>
  </si>
  <si>
    <t>Son, Cheolhee</t>
  </si>
  <si>
    <t>Lee, Sangbum</t>
    <phoneticPr fontId="2" type="noConversion"/>
  </si>
  <si>
    <t>Kang, Eugene</t>
  </si>
  <si>
    <t>실(영문)</t>
    <phoneticPr fontId="2" type="noConversion"/>
  </si>
  <si>
    <t>본부(영문)</t>
    <phoneticPr fontId="2" type="noConversion"/>
  </si>
  <si>
    <t>Circular Economy</t>
  </si>
  <si>
    <t>Land Management and Environment</t>
  </si>
  <si>
    <t>Ecology</t>
  </si>
  <si>
    <t>Environmental Health</t>
  </si>
  <si>
    <t>Environmental Informatics</t>
  </si>
  <si>
    <t>Atmospheric Environment</t>
  </si>
  <si>
    <t>Water Management</t>
  </si>
  <si>
    <t>Environmental Assessment</t>
  </si>
  <si>
    <t>Climate Adaptation</t>
  </si>
  <si>
    <t>Marine Environment</t>
  </si>
  <si>
    <t>Environmental Economics</t>
  </si>
  <si>
    <t>Socio-Environmental Interface</t>
  </si>
  <si>
    <t>International &amp; Regional Collaboration</t>
  </si>
  <si>
    <t>Climate Environment (GHG Reduction)</t>
  </si>
  <si>
    <t>Land management and environment</t>
  </si>
  <si>
    <t>Noise and Vibration Impacts</t>
  </si>
  <si>
    <t>A Study on Science-Based Approaches to Full-Cycle Management of Environmental Restoration</t>
  </si>
  <si>
    <t>A Study on the Effectiveness of African Swine Fever (ASF) Fencing and Strategies for Improved Management</t>
  </si>
  <si>
    <t>Resilience Assessment of Biodiversity Using Bigdata and Intelligent Technology (RABBIT) (Year 4)</t>
  </si>
  <si>
    <t>Study on Developing a System for Flood Risk Evaluation and Expected Annual Damage based on Flood Damage Types (Year 2)</t>
  </si>
  <si>
    <t>Philippine Climate Resilience Cities Project (KOICA)</t>
  </si>
  <si>
    <t>Developing a National Candidate Site List for Green Restoration (Year 2)</t>
  </si>
  <si>
    <t>Building an AI-Based Training Dataset for Automatic Wetland Boundary Classification</t>
  </si>
  <si>
    <t>Developing Methodologies for Environmental Assessment of Renewable Energy</t>
  </si>
  <si>
    <t>Promoting International Cooperation in the Water Sector (I)</t>
  </si>
  <si>
    <t>Compilation of 2024 Environmental Tax and Revenue Account Statistics</t>
  </si>
  <si>
    <t>Developing Response Strategies for Framework Plan and Feasibility Assessment in Environmental Restoration of Wanggung-ri, Iksan</t>
  </si>
  <si>
    <t>Analysis of Disease Incidence Using Big Data Linking National Health Screening Records and Air Pollution Exposure, and Release of Research Data</t>
  </si>
  <si>
    <t>Preparing Regulatory Revisions for Environmental International Development Cooperation Projects</t>
  </si>
  <si>
    <t>Compilation of Environmental Protection Expenditure Accounts for 2023</t>
  </si>
  <si>
    <t>Developing a Comprehensive Database and Utilization Framework for Carbon Neutrality Technologies in the Energy Sector (Transition, Industry, Transport, and Buildings)</t>
  </si>
  <si>
    <t>Developing Appropriate Treatment Methods for Public Wastewater Facilities Handling Industrial Wastewater from Secondary Battery Production</t>
  </si>
  <si>
    <t>Developing Strategies to Improve Environmental Impact Assessments for Urban Development Projects</t>
  </si>
  <si>
    <t>Developing Strategies to Improve Industrial Wastewater Management</t>
  </si>
  <si>
    <t>2024 Capacity-Building, Including Operation of the Green Chemistry Council</t>
  </si>
  <si>
    <t xml:space="preserve">Research on Reforming the 2025 Subsidy Scheme for Electric Vehicles </t>
  </si>
  <si>
    <t>Advancing Environmental Policies for Enhanced Environmental Management</t>
  </si>
  <si>
    <t>Study on the Designation and Institutional Development for K-Carbon Neutral Cities</t>
  </si>
  <si>
    <t>Developing a Master Plan for Conserving and Utilizing the Natural Value of Sorokdo</t>
  </si>
  <si>
    <t>Developing National Indicators for Genetic Diversity to Support Implementation of the Global Biodiversity Framework (Year 1)</t>
  </si>
  <si>
    <t>Developing Technologies for Water Resources Satellite Utilization (II) (Phase 1)</t>
  </si>
  <si>
    <t>Developing Institutional and Policy Guidelines to Support Seawater Desalination (Year 2)</t>
  </si>
  <si>
    <t>Developing Environmental Strategies to Enhance Implementation of the SDGs</t>
  </si>
  <si>
    <t>Trends in the Implementation of the CBD Kunming-Montreal Global Biodiversity Framework and Development of Response Strategies (II)</t>
  </si>
  <si>
    <t>Developing Strategies to Improve Emission Standard Management</t>
  </si>
  <si>
    <t>Feasibility Review and Preparation of Draft Amendments for the Second Water Reuse Master Plan</t>
  </si>
  <si>
    <t>Developing a Revision Plan for the 5th Comprehensive National Environmental Plan (2020–2040) (I)</t>
  </si>
  <si>
    <t>Implementing a Carbon Cap System in Development Projects for Carbon Neutrality</t>
  </si>
  <si>
    <t>Feasibility Review and Preparation of Draft Amendments for the First Master Plan for National Water Management (I)</t>
  </si>
  <si>
    <t>Developing the Third Master Plan for National Water Environment Management</t>
  </si>
  <si>
    <t xml:space="preserve"> Developing a Strategic Roadmap for the Advancement of Indoor Environment Management Center</t>
  </si>
  <si>
    <t>Research on Convergent Approaches to Mitigate Secondary Microplastic Pollution (Year 5)</t>
  </si>
  <si>
    <t>Developing Strategies to Implement Zoning for Enhancing Ecosystem Services</t>
  </si>
  <si>
    <t>Comprehensive Environmental Health Assessment of Regions Around Coal-Fired Power Plants</t>
  </si>
  <si>
    <t>Developing a Tiered Environmental Impact Assessment System (Phase 1)</t>
  </si>
  <si>
    <t>Impact Analysis of Handling Facility Standards and Quantity Limits for Reforming the Hazardous Substance Designation and Management System</t>
  </si>
  <si>
    <t>Analysis of National Strategies and Plans for Addressing Plastic Pollution in the Asia-Pacific Region</t>
  </si>
  <si>
    <t>Developing National Long-Term Greenhouse Gas Reduction Pathways</t>
  </si>
  <si>
    <t>Study on Expanding the Scope of Industries Subject to Integrated Environmental Management</t>
  </si>
  <si>
    <t>Study on the Application of Environmental Management Technologies for Advanced Water Source Management</t>
  </si>
  <si>
    <t>Study on Reforming the Water Supply and Waterworks Installation Act to Refine the Water Supply System</t>
  </si>
  <si>
    <t>Developing Strategies to Improve the Certification System for Water Supply Materials and Products</t>
  </si>
  <si>
    <t>Establishment of the National Basic Strategy for Sustainable Development (2026-2045)</t>
  </si>
  <si>
    <t>Formulating and Mainstreaming National Climate Crisis Adaptation Measures</t>
  </si>
  <si>
    <t>Enhancing Climate Adaptation and Reducing Vulnerability in Local Governments</t>
  </si>
  <si>
    <t>Capacity Building for Different Adaptation Stakeholders</t>
  </si>
  <si>
    <t>Promoting Climate Adaptation Cooperation in Korea and Abroad</t>
  </si>
  <si>
    <t>Comprehensive Study and Research on Adaptation Policies</t>
  </si>
  <si>
    <t>DM Project (Year 3)</t>
  </si>
  <si>
    <t>2025 Development and Management of National Land Environmental Assessment Maps</t>
  </si>
  <si>
    <t>KOICA Climate Mainstreaming Strategy and Action Plan Development Consulting (Phase 2)</t>
  </si>
  <si>
    <t>Developing Quantitative Assessment Techniques for Wetland Ecosystem Services and Value (Year 4)</t>
  </si>
  <si>
    <t>Identifying Suitable Sites for Public-Led Offshore Wind Projects (Year 2)</t>
  </si>
  <si>
    <t>Enhancing the Implementation of WMO’s Integrated Global Greenhouse Gas Information System (IG³IS) (Year 2)</t>
  </si>
  <si>
    <t>Development of an AI-Based Decision Support System for Maritime Search and Rescue (Year 4)</t>
  </si>
  <si>
    <t>Developing a Decision-Support Module for Adaptation Strategy Selection and Risk Mitigation Evaluation</t>
  </si>
  <si>
    <t>Developing a Regional Water Management System for Climate Change Impact and Risk Evaluation</t>
  </si>
  <si>
    <t>Global Power Sector Modeling for Advancing Carbon Neutrality (Year 4)</t>
  </si>
  <si>
    <t>Evaluation of Urban Climate Resilience Technologies and Development of a Decision Support System (Year 4)</t>
  </si>
  <si>
    <t>Developing an AOP-Based Integrated Testing and Assessment Approach (ITS/IATA) for Complex Human Toxicity Evaluation of Mixtures in Consumer Chemical Products (Year 3)</t>
  </si>
  <si>
    <t>Development and Application of Techniques for Water Scarcity Damage Analysis and Socioeconomic Valuation of Water Supply (Year 3)</t>
  </si>
  <si>
    <t>Technology Development for Supporting Carbon Mapping-Based Planning (Year 3)</t>
  </si>
  <si>
    <t>Developing Technologies for Assessing and Predicting Wetland Ecosystem Responses to Climate Change (Year 4)</t>
  </si>
  <si>
    <t>Developing Technologies for Water Resources Satellite Utilization (II) (Year 2)</t>
  </si>
  <si>
    <t>Developing AI-Based Practical Tools for Urban Flood Risk Prediction and Assessment (Year 2)</t>
  </si>
  <si>
    <t>Developing an Integrated Management Platform for Carbon Sinks Incorporating Ecosystem Services (Year 3)</t>
  </si>
  <si>
    <t>Developing Impact Assessment and Management Technologies for Hazardous Emissions from Marine Industrial Facilities (Year 5)</t>
  </si>
  <si>
    <t>Developing Technologies to Build an Observation-Based GHG Spatial Information Mapping Platform (Year 3)</t>
  </si>
  <si>
    <t>Developing a Customized Regional PM2.5 Management System (Year 6)</t>
  </si>
  <si>
    <t>Empirical Research of Corbicula japonica Habitats in the Lower Seomjin River (Phase 2)</t>
  </si>
  <si>
    <t>2024 Progress Review of the First Master Plan for National Water Management</t>
  </si>
  <si>
    <t>Development of the National Framework for Promoting Water Circulation and a Status Assessment</t>
  </si>
  <si>
    <t>Operation of the Environmental Impact Assessment Reform Forum</t>
  </si>
  <si>
    <t>Developing National Long-Term Greenhouse Gas Reduction Pathways (Phase 2)</t>
  </si>
  <si>
    <t>Developing Technologies for Assessing and Predicting the Impacts of Turbidity on Aquatic Ecosystems (Year 5)</t>
  </si>
  <si>
    <t>Developing Technologies for Assessing Environmental Flow Vulnerability and Integrating Water Quality, Hydrology, and Aquatic Ecology Considering Watershed Environmental Changes (Year 6)</t>
  </si>
  <si>
    <t>Developing a Tiered Environmental Impact Assessment System (Phase 2)</t>
  </si>
  <si>
    <t>Development of Core Technologies for Eco-Friendly Seawater-Based Energy Storage to Advance Leading Global Carbon-Neutral Cities (Year 4)</t>
  </si>
  <si>
    <t>Development of Technologies for Assessing Flood Safety of Longitudinal River Water Infrastructure Considering Physical Changes in River Environments (Year 2)</t>
  </si>
  <si>
    <t>Evaluation of Greenhouse Gas Reduction under the 2030 NDC in the Agriculture and Livestock Sector (Year 2)</t>
  </si>
  <si>
    <t>Developing Environmental Assessment Approaches for Zero-Carbon Power Sources</t>
  </si>
  <si>
    <t>Classification and Analysis of Electrical and Electronic Products to Promote the Eco-Assurance System (EcoAS)</t>
  </si>
  <si>
    <t>Study on Developing a System for Flood Risk Evaluation and Expected Annual Damage based on Flood Damage Types (Year 3)</t>
  </si>
  <si>
    <t>Study for Revalidation and Expansion of the Jeonbuk West Coast UNESCO Global Geopark</t>
  </si>
  <si>
    <t>Study on the Formulation of the Fifth Comprehensive Noise and Vibration Management Plan</t>
  </si>
  <si>
    <t>Advancing Integrated Management of Land and Environmental Planning and Operating Pilot Projects</t>
  </si>
  <si>
    <t>Evaluating the Outcomes of Special Local Transfers of Consultation Authority (EIA and Landscape Consultation Sectors)</t>
  </si>
  <si>
    <t>Developing a National Candidate Site List for Green Restoration (Year 3)</t>
  </si>
  <si>
    <t>Developing Management Approaches for Lighting Outside the Scope of the Light Pollution Prevention Act</t>
  </si>
  <si>
    <t>Resilience Assessment of Biodiversity Using Bigdata and Intelligent Technology (RABBIT) (Year 5)</t>
  </si>
  <si>
    <t>Evaluating the Outcomes of Special Local Transfers of Consultation Authority (Climate Change Impact Assessment Sector)</t>
  </si>
  <si>
    <t>Study on the Effects of BM-Based Pre-Allocation in the Power Sector</t>
  </si>
  <si>
    <t>Indicator Development for Assessing the Implementation of the National Biodiversity Strategy (Year 2)</t>
  </si>
  <si>
    <t>Pilot Compilation of Environmental Goods and Services Sector Accounts</t>
  </si>
  <si>
    <t>Strengthening Airport Bird Strike Prevention and Management to Balance Avian Conservation and Aviation Safety</t>
  </si>
  <si>
    <t>Digital Standardization of Preparatory Documents for EIA</t>
  </si>
  <si>
    <t>Establishing an Approval System for Local Government Environmental Plans</t>
  </si>
  <si>
    <t>Final Evaluation of the First Comprehensive Plan for Fine Dust Management and Development of the Evaluation Framework for the Second Plan</t>
  </si>
  <si>
    <t>Study on Collective Settlement Regarding Humidifier Disinfectants</t>
  </si>
  <si>
    <t xml:space="preserve">Performance Evaluation of the Air Quality Control Master Plan in Four Air Control Zones </t>
  </si>
  <si>
    <t>Environmental Health Big Data Information Center (Year 1)</t>
  </si>
  <si>
    <t>Securing Next-Generation Response Resources to Cope with Paradigm Shifts in Marine Pollution Accidents</t>
  </si>
  <si>
    <t>Development of Smart Survey Technology for Areas Vulnerable to Landslides (Year 1)</t>
  </si>
  <si>
    <t>Development of Management Technologies for Persistent Pollutants in the Marine Environment (Year 2)</t>
  </si>
  <si>
    <t>Economic Impact Analysis of the 2035 NDC (II)</t>
  </si>
  <si>
    <t>Policy Development to Promote Water Sector Initiatives</t>
  </si>
  <si>
    <t>2025 Cost-Benefit Analysis of Environmental Regulations</t>
  </si>
  <si>
    <t>Developing Subtropical Marine Environment Adaptation Scenarios, Response Measures, and Utilization System (Year 1)</t>
  </si>
  <si>
    <t>Study on Methodology for Certification of Recycled Battery Materials Production</t>
  </si>
  <si>
    <t>Development of the 4th Basic Plan for Natural Environment Conservation (2026–2035)</t>
  </si>
  <si>
    <t>Developing a Smart Construction Noise Management System</t>
  </si>
  <si>
    <t>Developing Assessment Indicators and Valuation Technologies for Aquatic Ecosystem Services (Year 1)</t>
  </si>
  <si>
    <t>Midterm Evaluation and Improvement Strategies for Korean Children's Environment and Health Study (ko-CHENs)</t>
  </si>
  <si>
    <t xml:space="preserve">2024 Performance Evaluation of the Air Quality Control Master Plan in Four Air Control Zones </t>
  </si>
  <si>
    <t>Developing a Support Framework for Health Impact Assessment Implementation</t>
  </si>
  <si>
    <t>Development of a Medium- to Long-Term Management Strategy for Waste in Rivers and Estuaries</t>
  </si>
  <si>
    <t>Revising Subordinate Legislation of the Clean Air Conservation Act</t>
  </si>
  <si>
    <t>Study for Revising the 5th Comprehensive National Environmental Plan (II)</t>
  </si>
  <si>
    <t>Developing Policy Evaluation Techniques Using Citizen, Social, Economic, and Environmental Data for Citizen-Participatory Climate Adaptation (Year 1)</t>
  </si>
  <si>
    <t>Establishment of a Standardization Foundation for Smart and Sustainable Cities and Communities and Development of International Standards Related to Carbon-neutral Cities</t>
  </si>
  <si>
    <t>Study on Reviewing and Improving the Second Basic Plan for Soil Conservation</t>
  </si>
  <si>
    <t>Developing Wastewater Utilization Strategies for Environmental Safety and Proper Management</t>
  </si>
  <si>
    <t>Promoting International Cooperation in the Water Sector (II)</t>
  </si>
  <si>
    <t>Study on Subordinate Legislation, Administrative Rules, and Regulatory Analysis for the Amendment of the Natural Environment Conservation Act</t>
  </si>
  <si>
    <t>2025 Environmental Tax and Revenue Account Statistics Compilation (Using 2023 Data)</t>
  </si>
  <si>
    <t>Study on Establishing a UNESCO Science-Guided National Water Assessment System (I)</t>
  </si>
  <si>
    <t>Study on the Health Effects of Fine Dust and Other Air Pollutants Using a Large-Scale Cohort Study (Phase 1)</t>
  </si>
  <si>
    <t>Establishing the First Master Plan for Circular Economy (Phase 1)</t>
  </si>
  <si>
    <t>Developing an Implementation Plan for the 2030 Roadmap for Expanding National Protected Areas</t>
  </si>
  <si>
    <t>Strategies to Respond to Discussions at the 2025 OECD Carbon Reduction Forum (IFCMA) and the Climate Club</t>
  </si>
  <si>
    <t>Evaluation of the 2024 Han River Basin Community Support Project</t>
  </si>
  <si>
    <t>Indicator Analysis for the Preparation of Korea’s 2026 SDG Implementation Report</t>
  </si>
  <si>
    <t>2024 Performance Evaluation of Eco-friendly Clean Projects</t>
  </si>
  <si>
    <t>Advancing the Integrated Management System for Soil and Groundwater Pollution (I)</t>
  </si>
  <si>
    <t>Developing Ecosystem Health Indicators for National Park Valuation</t>
  </si>
  <si>
    <t>Flood Risk Assessment for Underground Spaces and Development of Flood Mitigation Facilities Tailored to Korea (Year 1)</t>
  </si>
  <si>
    <t>Developing a Roadmap to Promote the Installation of Detention and Retention Facilities</t>
  </si>
  <si>
    <t>Improving the Management System for On-site Food Waste Treatment Equipment</t>
  </si>
  <si>
    <t>Developing Improvement Measures for Industrial Wastewater Management (II) and Guidelines for Public Wastewater Treatment Facility Planning</t>
  </si>
  <si>
    <t>Promoting Private Sector Participation in Natural Environment Restoration Projects and Ecosystem Services Payment Contracts</t>
  </si>
  <si>
    <t>Comparative Analysis of Climate and Clean Energy Transition Strategies in the US and China</t>
  </si>
  <si>
    <t>Study on Drivers of Change in GHG Emissions under the ETS</t>
  </si>
  <si>
    <t>2025 Project for Building Infrastructure to Support Industrial Green Chemistry Transition</t>
  </si>
  <si>
    <t>2025 Survey on the Status of Marine Waste</t>
  </si>
  <si>
    <t>Compilation of Environmental Protection Expenditure Accounts for 2024</t>
  </si>
  <si>
    <t>Developing National Indicators for Genetic Diversity to Support Implementation of the Global Biodiversity Framework (Year 2)</t>
  </si>
  <si>
    <t>Developing a Regulatory Framework for Indoor Air Polllutant Designation</t>
  </si>
  <si>
    <t>Study on the Impact of Emissions on the Formation of Condensable Fine Particles</t>
  </si>
  <si>
    <t>Developing the Climate Change Research Roadmap (2026–2030) for the National Institute of Biological Resources under the Ministry of Environment</t>
  </si>
  <si>
    <t>Developing Policy Indicators for Statutory Plans of Groundwater Management</t>
  </si>
  <si>
    <t>International Trend Analysis of Circular Economy Implementation Assessment</t>
  </si>
  <si>
    <t>Global Policy Trends in Conservation and Sustainable Development of Islands</t>
  </si>
  <si>
    <t>Basic Research for the Formulation of the 4th Basic Plan for Conservation of Natural Environment (2026-2035)</t>
  </si>
  <si>
    <t>Analysis of Trends in the Application of Artificial Intelligence Technologies to Environmental Health Policy</t>
  </si>
  <si>
    <t>Analysis of the Utilization of AI Methodologies for Estimating Causal Relationships between Air Pollutants</t>
  </si>
  <si>
    <t>A Comparative Study of Predictive Models for Assessing River Aquatic Ecosystem Health</t>
  </si>
  <si>
    <t>Integrated Approach to Linking Ecological and Hydrological Reviews in Follow-up Surveys of Environmental Impacts for Effective Aquatic Ecosystem Management</t>
  </si>
  <si>
    <t>International Policy Trends on Circular Economy Implementation in the Construction Sector</t>
  </si>
  <si>
    <t>Framework Development for Assessing Flood Risk Reduction of Coastal Green-Grey Infrastructure</t>
  </si>
  <si>
    <t>From ESG to Natural Capital: Toward Integrated Disclosure Frameworks</t>
  </si>
  <si>
    <t>Application of Mitigation Measures for Freshwater Ecosystem in Environmental Impact Assessment</t>
  </si>
  <si>
    <t>Trends and Prospects of Artificial Intelligence-Based Technologies for Biodiversity Survey</t>
  </si>
  <si>
    <t>Management of the Earth Environmental Information Center</t>
  </si>
  <si>
    <t>Management of the National Land Environmental Information Network System</t>
  </si>
  <si>
    <t>Management of the Environment E-Learning Center</t>
  </si>
  <si>
    <t>Building and Assessing Adaptive Capacity to Climate Change for the National Risk Management</t>
  </si>
  <si>
    <t>Environmental Assessment Monitoring Project</t>
  </si>
  <si>
    <t>Review and Methodological Study of Climate Change Impact Assessment</t>
  </si>
  <si>
    <t xml:space="preserve">Advancing ESG Practices and Enhancing Environmental Regulation Efficiency in Korea </t>
  </si>
  <si>
    <t>Water Policy Outlook Based on Integrated Analysis of Water, Environment, and Economy</t>
  </si>
  <si>
    <t>Research on the Circularity and Life Cycle Environmental Impacts of Plastics in Response to Global Environmental Regulations</t>
  </si>
  <si>
    <t>Policy Development for Establishing Ecosystem Accounts and Mainstreaming Biodiversity Conservation</t>
  </si>
  <si>
    <t>Development of an Integrated Diagnostic System for Enhancing the Effectiveness of Environmental Assessment</t>
  </si>
  <si>
    <t>Collaborative Research on the Green Economy</t>
  </si>
  <si>
    <t>Policy Improvements for Managing Human–Wildlife Conflicts in Daily Life</t>
  </si>
  <si>
    <t>Policy Reforms for Submarine Cables to Support Offshore Wind Expansion</t>
  </si>
  <si>
    <t>Follow-up Management for Effective Climate Change Impact Assessment: Implementation and Oversight of Agreements in Urban Development Projects</t>
  </si>
  <si>
    <t>Designation and Management of Climate Resilience Improvement Zones Based on Local Conditions</t>
  </si>
  <si>
    <t>Management Strategies for Urban Sewer Overflows and Stormwater Runoff at the Point Source Level to Improve Water Quality</t>
  </si>
  <si>
    <t>Financial Forecasting for Water Management in Response to the Climate Crisis</t>
  </si>
  <si>
    <t xml:space="preserve">Improving Environmental Impact Assessment to Ensure Continuity Between Development Plans and Their Implementation </t>
  </si>
  <si>
    <t xml:space="preserve">National Climate Governance Models: With Case Studies of Selected Countries </t>
  </si>
  <si>
    <t>Establishing Human Health and Environmental Standards for Persistent Organic Pollutants (POPs)</t>
  </si>
  <si>
    <t>Integrated Improvement Strategies for Air Pollution Control and Carbon Neutrality in the Cement Industry</t>
  </si>
  <si>
    <t>Riparian Zone Management System for Watershed Improvement (I)</t>
  </si>
  <si>
    <t>Improving Waste and Resource Circulation Statistics in Response to the Implementation of the Circular Economy and Society Promotion Act in Korea</t>
  </si>
  <si>
    <t>Evaluation and Improvement of Policies on Air Pollution Control Facility Installation and IoT-Based Management for Small-Scale Businesses</t>
  </si>
  <si>
    <t>Climate Change Adaptation Strategies Based on Social Vulnerability and Health Risks</t>
  </si>
  <si>
    <t>Environmental Impact Assessment Review</t>
  </si>
  <si>
    <t>Strategic Environmental Assessment Review</t>
  </si>
  <si>
    <t>Development of an Integrated Modeling Framework for Assessing Climate and Air Quality (III)</t>
  </si>
  <si>
    <t>Developing an AI-Enhanced Environmental Policy Data Hub</t>
  </si>
  <si>
    <t>KEI Global Cooperation Enhancement and Forum Operations</t>
  </si>
  <si>
    <t>Establishment of an Estuary and Coastal Integrated Environmental Information System to Respond to the Climate Crisis (II)</t>
  </si>
  <si>
    <t>Thematic Collaborative Research on Addressing Global Climate Policies</t>
  </si>
  <si>
    <t>Strategic Development and Functional Improvement of Digital Environmental Assessment Support Tools</t>
  </si>
  <si>
    <t>A Study of Renewable Energy in South Korea, Japan, and China</t>
  </si>
  <si>
    <t>Strategic Responses to Water Risks from Extreme Floods and Droughts: Focusing on the Han River Basin</t>
  </si>
  <si>
    <t>Study on Improving the Eco-Labeling System through Willingness-to-Pay Analysis</t>
  </si>
  <si>
    <t>Transitioning the Air Quality Management System to Simultaneously Promote Carbon Neutrality  and Air Pollution Reduction</t>
  </si>
  <si>
    <t>Environmental Assessment Strategies for River Projects in Response to the Climate Crisis</t>
  </si>
  <si>
    <t>International Comparison of Renewable Energy  and Grid Integration Planning Schemes</t>
  </si>
  <si>
    <t>Comparative Study on Urban Planning Elements and Policy Acceptability to Reduce Residents’  Carbon Footprint</t>
  </si>
  <si>
    <t>Development and Operation of an Environmental Policy Data Service Hub</t>
  </si>
  <si>
    <t>Development of a Global Environmental Knowledge Cooperation Platform</t>
  </si>
  <si>
    <t>Improving Dam Construction and Management for Water Environment Conservation: Focusing on Climate-Resilient Dam</t>
  </si>
  <si>
    <t>Study on the Establishment of a National Circular Bioeconomy Strategy</t>
  </si>
  <si>
    <t>Policy Tasks and Directions for the Rational Use of Groundwater Dam Water</t>
  </si>
  <si>
    <t>Air Quality Impacts and Management of Non-Exhaust Emissions in the Transportation Sector</t>
  </si>
  <si>
    <t>Feasibility Assessment Framework for Transplantation of Legally Protected Plants</t>
  </si>
  <si>
    <t>Development and Application of an Indicator System for Comprehensive Environmental Status Assessment</t>
  </si>
  <si>
    <t>Estimating Social Cost of Carbon by Using GIVE Model</t>
  </si>
  <si>
    <t>Strategies for Integrating Climate Measures into Spatial Planning</t>
  </si>
  <si>
    <t>Improving Integrated Management Policies for Piled Compost in River Zones</t>
  </si>
  <si>
    <t>Legal and Institutional Reform for Integrated Estuary Management</t>
  </si>
  <si>
    <t>Management of the Network of Institutions for Sustainable Development (NISD)</t>
  </si>
  <si>
    <t>Establishing a Clothing Waste Recycling System in Korea</t>
  </si>
  <si>
    <t>Strengthening Water Demand Management at the Usage Phase: Focusing on High Water-Consumption Facilities</t>
  </si>
  <si>
    <t>Developing Implementation Strategies for the 'Right to Repair' to Promote a Circular Economy</t>
  </si>
  <si>
    <t>US-China Climate and Renewable Energy in the Trump 2.0 Era: Key Issues and Policy Implications</t>
  </si>
  <si>
    <t>Developing Implementation Strategies for Integrating the Planetary Health Paradigm into Environmental Health Policy</t>
  </si>
  <si>
    <t>Establishing a Performance Evaluation System Based on Policy Review for Water Industry Promotion</t>
  </si>
  <si>
    <t>Introducing a Special Threshold Water Level System to Reduce Flood Damage in Underground Spaces</t>
  </si>
  <si>
    <t>Enhancing Community Acceptance of Offshore Wind Power through Public-Private Committee Operations</t>
  </si>
  <si>
    <t>Supporting Danyang’s Bid for UNESCO Global Geopark Status</t>
  </si>
  <si>
    <t>Supporting Baengnyeong–Daecheong’s Bid for UNESCO Global Geopark Status</t>
  </si>
  <si>
    <t>Consulting Service for Promoting Community Acceptance of Offshore Wind Power and Strengthening Stakeholder Capacities in Gunsan</t>
  </si>
  <si>
    <t>대충 영어로 된 과제명</t>
    <phoneticPr fontId="2" type="noConversion"/>
  </si>
  <si>
    <t>포1</t>
    <phoneticPr fontId="2" type="noConversion"/>
  </si>
  <si>
    <t>포2</t>
    <phoneticPr fontId="2" type="noConversion"/>
  </si>
  <si>
    <t>1. 연구현황에서 엑셀 다운로드 받아서 추가할 과제만 추려서 디비1에 붙여넣기</t>
  </si>
  <si>
    <t>-&gt; 열 수정하면 안됨, 필요한 행만 가져와서 붙여넣어야함.</t>
  </si>
  <si>
    <t>2. 붙여넣고 나면 부서명이 옛날거라서 디비1에서 오류메시지 나올 수 있음 -&gt; 수정</t>
  </si>
  <si>
    <t>3. 붙여넣고 나면 과제책임자가 두명이라서 디비1에서 오류메시지 나올 수 있음 -&gt; 수정</t>
  </si>
  <si>
    <t>4. 디비2에서 각 사람별 영문명 추가 및 수정</t>
  </si>
  <si>
    <t>5. 디비2에서 실, 본부별 영문명 추가 및 수정</t>
  </si>
  <si>
    <t>개발제한구역 환경평가 개선방안 연구</t>
    <phoneticPr fontId="2" type="noConversion"/>
  </si>
  <si>
    <t>Enhancing Environmental Assessment for Development-Restricted Areas</t>
    <phoneticPr fontId="2" type="noConversion"/>
  </si>
  <si>
    <t>AI 기반 음향·공간정보 융합을 통한 준실시간 생물다양성 모니터링 실용화 기술 개발</t>
    <phoneticPr fontId="2" type="noConversion"/>
  </si>
  <si>
    <t>Practical Technology Development for Near-Real-Time Biodiversity Monitoring Using AI-Driven Acoustic and Spatial Data Integration</t>
    <phoneticPr fontId="2" type="noConversion"/>
  </si>
  <si>
    <t>국가생물다양성융복합센터 사전타당성 검토 및 기본구상 마련 연구</t>
    <phoneticPr fontId="2" type="noConversion"/>
  </si>
  <si>
    <t>Pre-Feasibility Assessment and Conceptual Planning for the National Biodiversity Convergence Center</t>
    <phoneticPr fontId="2" type="noConversion"/>
  </si>
  <si>
    <t>기후변화영향평가 추진체계 발전방안 연구</t>
    <phoneticPr fontId="2" type="noConversion"/>
  </si>
  <si>
    <t>Development of Measures to Enhance the Climate Change Impact Assessment Framework</t>
    <phoneticPr fontId="2" type="noConversion"/>
  </si>
  <si>
    <t>Korea’s Practice of Addressing Air Pollution and GHG Emissions fromSmall- and Medium-scale Industries</t>
    <phoneticPr fontId="2" type="noConversion"/>
  </si>
  <si>
    <t>Korea’s Practice of Addressing Air Pollution and GHG Emissions from Small- and Medium-scale Industries</t>
    <phoneticPr fontId="2" type="noConversion"/>
  </si>
  <si>
    <t>탄소국경조정제도 대응체계 마련 연구</t>
    <phoneticPr fontId="2" type="noConversion"/>
  </si>
  <si>
    <t>Development of a Response Framework for the Carbon Border Adjustment Mechanism</t>
    <phoneticPr fontId="2" type="noConversion"/>
  </si>
  <si>
    <t>전기차 보조금 지원체계 개선 및 차종별 지원방안 마련 연구</t>
    <phoneticPr fontId="2" type="noConversion"/>
  </si>
  <si>
    <t>Enhancement of the Electric Vehicle Subsidy System and Development of Support Measures Tailored for Each Vehicle Type</t>
    <phoneticPr fontId="2" type="noConversion"/>
  </si>
  <si>
    <t>글로벌 생물다양성 프레임워크 대응을 위한 생물다양성 관련 보조금 관리방안 연구</t>
    <phoneticPr fontId="2" type="noConversion"/>
  </si>
  <si>
    <t>Development of Biodiversity Subsidy Management Measures in Response to the Global Biodiversity Framework</t>
    <phoneticPr fontId="2" type="noConversion"/>
  </si>
  <si>
    <t>생물다양성협약 쿤밍-몬트리올 GBF 이행동향 분석 및 대응방안 연구(III)</t>
    <phoneticPr fontId="2" type="noConversion"/>
  </si>
  <si>
    <t>Analysis of Implementation Trends and Development of Response Measures for the CBD Kunming-Montreal Global Biodiversity Framework (III)</t>
    <phoneticPr fontId="2" type="noConversion"/>
  </si>
  <si>
    <t>환경영향평가제도 신뢰성 제고를 위한 대행계약 제도 개선 및 운영방안 연구</t>
    <phoneticPr fontId="2" type="noConversion"/>
  </si>
  <si>
    <t>Development of Measures to Improve the Agency Contract System and Operations for Enhancing the Reliability of the Environmental Impact Assessment System</t>
    <phoneticPr fontId="2" type="noConversion"/>
  </si>
  <si>
    <t>탄소중립 신산업의 경쟁력 강화를 위한 지원체계 마련 연구</t>
    <phoneticPr fontId="2" type="noConversion"/>
  </si>
  <si>
    <t>Development of a Support Framework to Enhance the Competitiveness of Carbon-Neutral Emerging Industries</t>
    <phoneticPr fontId="2" type="noConversion"/>
  </si>
  <si>
    <t>첨단 물산업 육성 펀드 조성 방안 마련 연구</t>
    <phoneticPr fontId="2" type="noConversion"/>
  </si>
  <si>
    <t>Development of a Fund to Foster the Growth of the Advanced Water Industry</t>
    <phoneticPr fontId="2" type="noConversion"/>
  </si>
  <si>
    <t>제1차 국가물관리기본계획 타당성 검토 및 변경계획안 마련 연구(2차)</t>
    <phoneticPr fontId="2" type="noConversion"/>
  </si>
  <si>
    <t>Feasibility Review and Preparation of Draft Amendments for the First Master Plan for National Water Management (II)</t>
    <phoneticPr fontId="2" type="noConversion"/>
  </si>
  <si>
    <t>통합관리사업장 사후관리 체계 개선 연구</t>
    <phoneticPr fontId="2" type="noConversion"/>
  </si>
  <si>
    <t>Development of a Follow-Up Management Framework for Integrated Environmental Management Facilities</t>
    <phoneticPr fontId="2" type="noConversion"/>
  </si>
  <si>
    <t>2025년도 3차 기초연구사업</t>
    <phoneticPr fontId="2" type="noConversion"/>
  </si>
  <si>
    <t>(모과제) 한중일-아세안 녹색삼각협력을 위한 기초연구</t>
    <phoneticPr fontId="2" type="noConversion"/>
  </si>
  <si>
    <t>Foundational Research for East Asia Green Triangle Cooperation</t>
    <phoneticPr fontId="2" type="noConversion"/>
  </si>
  <si>
    <t>(모과제) 가뭄-산불 복합재난 리스크 평가 방법론 검토</t>
    <phoneticPr fontId="2" type="noConversion"/>
  </si>
  <si>
    <t>Assessment Methodology Review for Drought–Wildfire Compound Disaster Risks</t>
    <phoneticPr fontId="2" type="noConversion"/>
  </si>
  <si>
    <t>한중일-아세안 녹색삼각협력을 위한 기초연구</t>
    <phoneticPr fontId="2" type="noConversion"/>
  </si>
  <si>
    <t xml:space="preserve">도시 녹지네트워크 강화를 위한 법적체계 연계 및 관리 개선 방안 </t>
    <phoneticPr fontId="2" type="noConversion"/>
  </si>
  <si>
    <t>Development of Measures for Linking Legal Frameworks and Enhancing Management to Strengthen Urban Green Networks</t>
    <phoneticPr fontId="2" type="noConversion"/>
  </si>
  <si>
    <t>노후계획도시의 AIoT 기반 지능형 생태도시로의 전략적 접근방안</t>
    <phoneticPr fontId="2" type="noConversion"/>
  </si>
  <si>
    <t>Strategic Framework for Converting Aging Planned Cities into AIoT-Enabled Intelligent Eco-Cities</t>
    <phoneticPr fontId="2" type="noConversion"/>
  </si>
  <si>
    <t xml:space="preserve">NDC 달성을 위한 기후환경산업 수출 활성화 이슈와 정책과제 </t>
    <phoneticPr fontId="2" type="noConversion"/>
  </si>
  <si>
    <t>무공해차 전환 촉진을 위한 수송용 연료 상대가격 조정 및 세수 활용 방안</t>
    <phoneticPr fontId="2" type="noConversion"/>
  </si>
  <si>
    <t>Measures for Adjusting Transport Fuel Prices and Using Tax Revenues to Promote the Transition to Zero-Emission Vehicles</t>
    <phoneticPr fontId="2" type="noConversion"/>
  </si>
  <si>
    <t>하천홍수완충공간 확보 방안의 실효성 분석 및 정책 추진 과제</t>
    <phoneticPr fontId="2" type="noConversion"/>
  </si>
  <si>
    <t>Assessment of Effectiveness and Policy Measures for Securing River Flood Buffer Spaces</t>
    <phoneticPr fontId="2" type="noConversion"/>
  </si>
  <si>
    <t>Issues and Policy Measures for Promoting Exports of Climate and Environmental Industries to Achieve NDC Targets</t>
    <phoneticPr fontId="2" type="noConversion"/>
  </si>
  <si>
    <t>Land Management and Environment</t>
    <phoneticPr fontId="2" type="noConversion"/>
  </si>
  <si>
    <t>Environmental Assessment</t>
    <phoneticPr fontId="2" type="noConversion"/>
  </si>
  <si>
    <t>Ecology</t>
    <phoneticPr fontId="2" type="noConversion"/>
  </si>
  <si>
    <t>Environmental Informatics</t>
    <phoneticPr fontId="2" type="noConversion"/>
  </si>
  <si>
    <t>Climate Adaptation</t>
    <phoneticPr fontId="2" type="noConversion"/>
  </si>
  <si>
    <t>Atmospheric Environment</t>
    <phoneticPr fontId="2" type="noConversion"/>
  </si>
  <si>
    <t>Climate Environment (GHG Reduction)</t>
    <phoneticPr fontId="2" type="noConversion"/>
  </si>
  <si>
    <t>Environmental Economics</t>
    <phoneticPr fontId="2" type="noConversion"/>
  </si>
  <si>
    <t>International &amp; Regional Collaboration</t>
    <phoneticPr fontId="2" type="noConversion"/>
  </si>
  <si>
    <t>Water Management</t>
    <phoneticPr fontId="2" type="noConversion"/>
  </si>
  <si>
    <t>해당사항 없음</t>
    <phoneticPr fontId="2" type="noConversion"/>
  </si>
  <si>
    <t>해당사항 없음 (아래 세부과제로 수록)</t>
    <phoneticPr fontId="2" type="noConversion"/>
  </si>
  <si>
    <t xml:space="preserve">해당사항 없음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</si>
</sst>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#"/>
    <numFmt numFmtId="177" formatCode="[$-412]yyyy\-mm\-dd"/>
    <numFmt numFmtId="178" formatCode="dd/mmm/yyyy"/>
  </numFmts>
  <fonts count="13">
    <font>
      <sz val="11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8"/>
      <name val="맑은 고딕"/>
      <family val="2"/>
      <charset val="129"/>
      <scheme val="minor"/>
    </font>
    <font>
      <sz val="26"/>
      <color theme="3" tint="-0.249977111117893"/>
      <name val="Arial Black"/>
      <family val="2"/>
    </font>
    <font>
      <b/>
      <sz val="11.5"/>
      <color theme="0"/>
      <name val="Arial"/>
      <family val="2"/>
    </font>
    <font>
      <b/>
      <sz val="11"/>
      <color theme="0"/>
      <name val="맑은 고딕"/>
      <family val="3"/>
      <charset val="129"/>
    </font>
    <font>
      <b/>
      <sz val="11"/>
      <color theme="0"/>
      <name val="Arial"/>
      <family val="2"/>
    </font>
    <font>
      <sz val="11"/>
      <color indexed="8"/>
      <name val="맑은 고딕"/>
      <family val="2"/>
      <scheme val="minor"/>
    </font>
    <font>
      <b/>
      <sz val="9"/>
      <name val="굴림체"/>
      <family val="3"/>
      <charset val="129"/>
    </font>
    <font>
      <sz val="9"/>
      <name val="굴림체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theme="3" tint="-0.249977111117893"/>
      </top>
      <bottom style="medium">
        <color theme="3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499984740745262"/>
      </left>
      <right style="thin">
        <color theme="2" tint="-0.499984740745262"/>
      </right>
      <top style="thin">
        <color theme="2" tint="-0.499984740745262"/>
      </top>
      <bottom/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7" fillId="0" borderId="0" xfId="1">
      <alignment vertical="center"/>
    </xf>
    <xf numFmtId="0" fontId="0" fillId="0" borderId="2" xfId="0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shrinkToFit="1"/>
    </xf>
    <xf numFmtId="178" fontId="0" fillId="0" borderId="0" xfId="0" applyNumberFormat="1">
      <alignment vertical="center"/>
    </xf>
    <xf numFmtId="0" fontId="0" fillId="0" borderId="2" xfId="0" applyBorder="1">
      <alignment vertical="center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178" fontId="0" fillId="0" borderId="2" xfId="0" applyNumberFormat="1" applyBorder="1" applyAlignment="1">
      <alignment horizontal="center" vertical="center"/>
    </xf>
    <xf numFmtId="0" fontId="8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center" vertical="center" wrapText="1"/>
    </xf>
    <xf numFmtId="0" fontId="9" fillId="0" borderId="2" xfId="1" applyFont="1" applyBorder="1" applyAlignment="1">
      <alignment horizontal="left" vertical="center" wrapText="1"/>
    </xf>
    <xf numFmtId="176" fontId="9" fillId="0" borderId="2" xfId="1" applyNumberFormat="1" applyFont="1" applyBorder="1" applyAlignment="1">
      <alignment horizontal="right" vertical="center" wrapText="1"/>
    </xf>
    <xf numFmtId="177" fontId="9" fillId="0" borderId="2" xfId="1" applyNumberFormat="1" applyFont="1" applyBorder="1" applyAlignment="1">
      <alignment horizontal="center" vertical="center" wrapText="1"/>
    </xf>
    <xf numFmtId="0" fontId="7" fillId="0" borderId="2" xfId="1" applyBorder="1">
      <alignment vertical="center"/>
    </xf>
    <xf numFmtId="0" fontId="9" fillId="4" borderId="2" xfId="1" applyFont="1" applyFill="1" applyBorder="1" applyAlignment="1">
      <alignment horizontal="center" vertical="center" wrapText="1"/>
    </xf>
    <xf numFmtId="0" fontId="8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center" vertical="center" shrinkToFit="1"/>
    </xf>
    <xf numFmtId="0" fontId="9" fillId="0" borderId="2" xfId="1" applyFont="1" applyBorder="1" applyAlignment="1">
      <alignment horizontal="left" vertical="center" shrinkToFit="1"/>
    </xf>
    <xf numFmtId="176" fontId="9" fillId="0" borderId="2" xfId="1" applyNumberFormat="1" applyFont="1" applyBorder="1" applyAlignment="1">
      <alignment horizontal="right" vertical="center" shrinkToFit="1"/>
    </xf>
    <xf numFmtId="177" fontId="9" fillId="0" borderId="2" xfId="1" applyNumberFormat="1" applyFont="1" applyBorder="1" applyAlignment="1">
      <alignment horizontal="center" vertical="center" shrinkToFit="1"/>
    </xf>
    <xf numFmtId="0" fontId="7" fillId="0" borderId="2" xfId="1" applyBorder="1" applyAlignment="1">
      <alignment vertical="center" shrinkToFit="1"/>
    </xf>
    <xf numFmtId="0" fontId="9" fillId="4" borderId="2" xfId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BEDE2FC0-0BAE-49D6-8F45-891CF620899E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3E31E-CD43-4989-B04D-E9B9C0A6CA0B}">
  <dimension ref="A1:P311"/>
  <sheetViews>
    <sheetView tabSelected="1" zoomScaleNormal="100" workbookViewId="0">
      <pane ySplit="4" topLeftCell="A41" activePane="bottomLeft" state="frozen"/>
      <selection pane="bottomLeft" activeCell="B275" sqref="B275"/>
    </sheetView>
  </sheetViews>
  <sheetFormatPr defaultRowHeight="16.5"/>
  <cols>
    <col min="2" max="2" width="14.875" style="1" customWidth="1"/>
    <col min="3" max="3" width="92.25" style="2" customWidth="1"/>
    <col min="4" max="4" width="18.5" style="1" bestFit="1" customWidth="1"/>
    <col min="5" max="6" width="20.25" style="1" customWidth="1"/>
    <col min="7" max="7" width="13" style="3" bestFit="1" customWidth="1"/>
    <col min="8" max="8" width="12.875" style="3" bestFit="1" customWidth="1"/>
    <col min="15" max="15" width="13.125" bestFit="1" customWidth="1"/>
    <col min="16" max="16" width="12.375" bestFit="1" customWidth="1"/>
  </cols>
  <sheetData>
    <row r="1" spans="1:16" ht="17.25" thickBot="1"/>
    <row r="2" spans="1:16" ht="42" thickBot="1">
      <c r="B2" s="32" t="s">
        <v>0</v>
      </c>
      <c r="C2" s="32"/>
      <c r="D2" s="32"/>
      <c r="E2" s="32"/>
      <c r="F2" s="32"/>
      <c r="G2" s="32"/>
      <c r="H2" s="32"/>
    </row>
    <row r="3" spans="1:16" ht="41.25">
      <c r="B3" s="4"/>
      <c r="C3" s="4"/>
      <c r="D3" s="4"/>
      <c r="E3" s="4"/>
      <c r="F3" s="4"/>
    </row>
    <row r="4" spans="1:16">
      <c r="B4" s="13" t="s">
        <v>1</v>
      </c>
      <c r="C4" s="13" t="s">
        <v>2</v>
      </c>
      <c r="D4" s="13" t="s">
        <v>3</v>
      </c>
      <c r="E4" s="13" t="s">
        <v>4</v>
      </c>
      <c r="F4" s="13" t="s">
        <v>5</v>
      </c>
      <c r="G4" s="14" t="s">
        <v>6</v>
      </c>
      <c r="H4" s="15" t="s">
        <v>7</v>
      </c>
    </row>
    <row r="5" spans="1:16">
      <c r="A5" t="str">
        <f>'DB1'!$C2</f>
        <v>2023-066</v>
      </c>
      <c r="B5" s="16" t="str" cm="1">
        <f t="array" ref="B5">_xlfn.IFS(LEFT($A5,2)='DB2'!$G$43,'DB2'!$F$43,LEFT($A5,2)='DB2'!$G$44,'DB2'!$F$44,LEFT($A5,2)='DB2'!$H$44,'DB2'!$F$44,LEFT($A5,2)='DB2'!$I$44,'DB2'!$F$44,LEFT($A5,2)='DB2'!$J$44,'DB2'!$F$44,LEFT($A5,2)='DB2'!$G$45,'DB2'!$F$45,LEFT($A5,2)='DB2'!$G$46,'DB2'!$F$46,LEFT($A5,2)=LEFT('DB2'!$G$47,2),'DB2'!$F$47)</f>
        <v xml:space="preserve">Commissioned Research </v>
      </c>
      <c r="C5" s="16" t="str">
        <f>VLOOKUP($A5,'DB1'!$C:$Q,12,0)</f>
        <v>Supporting Danyang’s Bid for UNESCO Global Geopark Status</v>
      </c>
      <c r="D5" s="12" t="str">
        <f>VLOOKUP($A5,'DB1'!$C:$Q,13,0)</f>
        <v>Lee, Soojae</v>
      </c>
      <c r="E5" s="16" t="str">
        <f>VLOOKUP($A5,'DB1'!$C:$Q,14,0)</f>
        <v>Ecology</v>
      </c>
      <c r="F5" s="16" t="str">
        <f>VLOOKUP($A5,'DB1'!$C:$Q,15,0)</f>
        <v>Land Management and Environment</v>
      </c>
      <c r="G5" s="17">
        <f>VLOOKUP($A5,'DB1'!$C:$Q,9,0)</f>
        <v>45054</v>
      </c>
      <c r="H5" s="17">
        <f>VLOOKUP($A5,'DB1'!$C:$Q,10,0)</f>
        <v>45713</v>
      </c>
      <c r="O5" s="11"/>
      <c r="P5" s="11"/>
    </row>
    <row r="6" spans="1:16">
      <c r="A6" t="str">
        <f>'DB1'!$C3</f>
        <v>2023-067</v>
      </c>
      <c r="B6" s="16" t="str" cm="1">
        <f t="array" ref="B6">_xlfn.IFS(LEFT($A6,2)='DB2'!$G$43,'DB2'!$F$43,LEFT($A6,2)='DB2'!$G$44,'DB2'!$F$44,LEFT($A6,2)='DB2'!$H$44,'DB2'!$F$44,LEFT($A6,2)='DB2'!$I$44,'DB2'!$F$44,LEFT($A6,2)='DB2'!$J$44,'DB2'!$F$44,LEFT($A6,2)='DB2'!$G$45,'DB2'!$F$45,LEFT($A6,2)='DB2'!$G$46,'DB2'!$F$46,LEFT($A6,2)=LEFT('DB2'!$G$47,2),'DB2'!$F$47)</f>
        <v xml:space="preserve">Commissioned Research </v>
      </c>
      <c r="C6" s="16" t="str">
        <f>VLOOKUP($A6,'DB1'!$C:$Q,12,0)</f>
        <v>Supporting Baengnyeong–Daecheong’s Bid for UNESCO Global Geopark Status</v>
      </c>
      <c r="D6" s="12" t="str">
        <f>VLOOKUP($A6,'DB1'!$C:$Q,13,0)</f>
        <v>Lee, Soojae</v>
      </c>
      <c r="E6" s="16" t="str">
        <f>VLOOKUP($A6,'DB1'!$C:$Q,14,0)</f>
        <v>Ecology</v>
      </c>
      <c r="F6" s="16" t="str">
        <f>VLOOKUP($A6,'DB1'!$C:$Q,15,0)</f>
        <v>Land management and environment</v>
      </c>
      <c r="G6" s="17">
        <f>VLOOKUP($A6,'DB1'!$C:$Q,9,0)</f>
        <v>45056</v>
      </c>
      <c r="H6" s="17">
        <f>VLOOKUP($A6,'DB1'!$C:$Q,10,0)</f>
        <v>46275</v>
      </c>
    </row>
    <row r="7" spans="1:16">
      <c r="A7" t="str">
        <f>'DB1'!$C4</f>
        <v>2023-111</v>
      </c>
      <c r="B7" s="16" t="str" cm="1">
        <f t="array" ref="B7">_xlfn.IFS(LEFT($A7,2)='DB2'!$G$43,'DB2'!$F$43,LEFT($A7,2)='DB2'!$G$44,'DB2'!$F$44,LEFT($A7,2)='DB2'!$H$44,'DB2'!$F$44,LEFT($A7,2)='DB2'!$I$44,'DB2'!$F$44,LEFT($A7,2)='DB2'!$J$44,'DB2'!$F$44,LEFT($A7,2)='DB2'!$G$45,'DB2'!$F$45,LEFT($A7,2)='DB2'!$G$46,'DB2'!$F$46,LEFT($A7,2)=LEFT('DB2'!$G$47,2),'DB2'!$F$47)</f>
        <v xml:space="preserve">Commissioned Research </v>
      </c>
      <c r="C7" s="16" t="str">
        <f>VLOOKUP($A7,'DB1'!$C:$Q,12,0)</f>
        <v>Consulting Service for Promoting Community Acceptance of Offshore Wind Power and Strengthening Stakeholder Capacities in Gunsan</v>
      </c>
      <c r="D7" s="12" t="str">
        <f>VLOOKUP($A7,'DB1'!$C:$Q,13,0)</f>
        <v>Cho, Kongjang</v>
      </c>
      <c r="E7" s="16" t="str">
        <f>VLOOKUP($A7,'DB1'!$C:$Q,14,0)</f>
        <v>Socio-Environmental Interface</v>
      </c>
      <c r="F7" s="16" t="str">
        <f>VLOOKUP($A7,'DB1'!$C:$Q,15,0)</f>
        <v>Climate Environment (GHG Reduction)</v>
      </c>
      <c r="G7" s="17">
        <f>VLOOKUP($A7,'DB1'!$C:$Q,9,0)</f>
        <v>45287</v>
      </c>
      <c r="H7" s="17">
        <f>VLOOKUP($A7,'DB1'!$C:$Q,10,0)</f>
        <v>45961</v>
      </c>
    </row>
    <row r="8" spans="1:16">
      <c r="A8" t="str">
        <f>'DB1'!$C5</f>
        <v>2024-020</v>
      </c>
      <c r="B8" s="16" t="str" cm="1">
        <f t="array" ref="B8">_xlfn.IFS(LEFT($A8,2)='DB2'!$G$43,'DB2'!$F$43,LEFT($A8,2)='DB2'!$G$44,'DB2'!$F$44,LEFT($A8,2)='DB2'!$H$44,'DB2'!$F$44,LEFT($A8,2)='DB2'!$I$44,'DB2'!$F$44,LEFT($A8,2)='DB2'!$J$44,'DB2'!$F$44,LEFT($A8,2)='DB2'!$G$45,'DB2'!$F$45,LEFT($A8,2)='DB2'!$G$46,'DB2'!$F$46,LEFT($A8,2)=LEFT('DB2'!$G$47,2),'DB2'!$F$47)</f>
        <v xml:space="preserve">Commissioned Research </v>
      </c>
      <c r="C8" s="16" t="str">
        <f>VLOOKUP($A8,'DB1'!$C:$Q,12,0)</f>
        <v>A Study on Science-Based Approaches to Full-Cycle Management of Environmental Restoration</v>
      </c>
      <c r="D8" s="12" t="str">
        <f>VLOOKUP($A8,'DB1'!$C:$Q,13,0)</f>
        <v>Son, Seungwoo</v>
      </c>
      <c r="E8" s="16" t="str">
        <f>VLOOKUP($A8,'DB1'!$C:$Q,14,0)</f>
        <v>Land Management and Environment</v>
      </c>
      <c r="F8" s="16" t="str">
        <f>VLOOKUP($A8,'DB1'!$C:$Q,15,0)</f>
        <v>Ecology</v>
      </c>
      <c r="G8" s="17">
        <f>VLOOKUP($A8,'DB1'!$C:$Q,9,0)</f>
        <v>45309</v>
      </c>
      <c r="H8" s="17">
        <f>VLOOKUP($A8,'DB1'!$C:$Q,10,0)</f>
        <v>45673</v>
      </c>
    </row>
    <row r="9" spans="1:16">
      <c r="A9" t="str">
        <f>'DB1'!$C6</f>
        <v>2024-032</v>
      </c>
      <c r="B9" s="16" t="str" cm="1">
        <f t="array" ref="B9">_xlfn.IFS(LEFT($A9,2)='DB2'!$G$43,'DB2'!$F$43,LEFT($A9,2)='DB2'!$G$44,'DB2'!$F$44,LEFT($A9,2)='DB2'!$H$44,'DB2'!$F$44,LEFT($A9,2)='DB2'!$I$44,'DB2'!$F$44,LEFT($A9,2)='DB2'!$J$44,'DB2'!$F$44,LEFT($A9,2)='DB2'!$G$45,'DB2'!$F$45,LEFT($A9,2)='DB2'!$G$46,'DB2'!$F$46,LEFT($A9,2)=LEFT('DB2'!$G$47,2),'DB2'!$F$47)</f>
        <v xml:space="preserve">Commissioned Research </v>
      </c>
      <c r="C9" s="16" t="str">
        <f>VLOOKUP($A9,'DB1'!$C:$Q,12,0)</f>
        <v>A Study on the Effectiveness of African Swine Fever (ASF) Fencing and Strategies for Improved Management</v>
      </c>
      <c r="D9" s="12" t="str">
        <f>VLOOKUP($A9,'DB1'!$C:$Q,13,0)</f>
        <v xml:space="preserve">Koo, Kyung Ah </v>
      </c>
      <c r="E9" s="16" t="str">
        <f>VLOOKUP($A9,'DB1'!$C:$Q,14,0)</f>
        <v>Environmental Health</v>
      </c>
      <c r="F9" s="16" t="str">
        <f>VLOOKUP($A9,'DB1'!$C:$Q,15,0)</f>
        <v>Ecology</v>
      </c>
      <c r="G9" s="17">
        <f>VLOOKUP($A9,'DB1'!$C:$Q,9,0)</f>
        <v>45390</v>
      </c>
      <c r="H9" s="17">
        <f>VLOOKUP($A9,'DB1'!$C:$Q,10,0)</f>
        <v>45815</v>
      </c>
    </row>
    <row r="10" spans="1:16">
      <c r="A10" t="str">
        <f>'DB1'!$C7</f>
        <v>2024-036(R)</v>
      </c>
      <c r="B10" s="16" t="str" cm="1">
        <f t="array" ref="B10">_xlfn.IFS(LEFT($A10,2)='DB2'!$G$43,'DB2'!$F$43,LEFT($A10,2)='DB2'!$G$44,'DB2'!$F$44,LEFT($A10,2)='DB2'!$H$44,'DB2'!$F$44,LEFT($A10,2)='DB2'!$I$44,'DB2'!$F$44,LEFT($A10,2)='DB2'!$J$44,'DB2'!$F$44,LEFT($A10,2)='DB2'!$G$45,'DB2'!$F$45,LEFT($A10,2)='DB2'!$G$46,'DB2'!$F$46,LEFT($A10,2)=LEFT('DB2'!$G$47,2),'DB2'!$F$47)</f>
        <v xml:space="preserve">Commissioned Research </v>
      </c>
      <c r="C10" s="16" t="str">
        <f>VLOOKUP($A10,'DB1'!$C:$Q,12,0)</f>
        <v>Resilience Assessment of Biodiversity Using Bigdata and Intelligent Technology (RABBIT) (Year 4)</v>
      </c>
      <c r="D10" s="12" t="str">
        <f>VLOOKUP($A10,'DB1'!$C:$Q,13,0)</f>
        <v>Choi, Yuyoung</v>
      </c>
      <c r="E10" s="16" t="str">
        <f>VLOOKUP($A10,'DB1'!$C:$Q,14,0)</f>
        <v>Environmental Informatics</v>
      </c>
      <c r="F10" s="16" t="str">
        <f>VLOOKUP($A10,'DB1'!$C:$Q,15,0)</f>
        <v>Ecology</v>
      </c>
      <c r="G10" s="17">
        <f>VLOOKUP($A10,'DB1'!$C:$Q,9,0)</f>
        <v>45352</v>
      </c>
      <c r="H10" s="17">
        <f>VLOOKUP($A10,'DB1'!$C:$Q,10,0)</f>
        <v>45716</v>
      </c>
    </row>
    <row r="11" spans="1:16">
      <c r="A11" t="str">
        <f>'DB1'!$C8</f>
        <v>2024-039(R)</v>
      </c>
      <c r="B11" s="16" t="str" cm="1">
        <f t="array" ref="B11">_xlfn.IFS(LEFT($A11,2)='DB2'!$G$43,'DB2'!$F$43,LEFT($A11,2)='DB2'!$G$44,'DB2'!$F$44,LEFT($A11,2)='DB2'!$H$44,'DB2'!$F$44,LEFT($A11,2)='DB2'!$I$44,'DB2'!$F$44,LEFT($A11,2)='DB2'!$J$44,'DB2'!$F$44,LEFT($A11,2)='DB2'!$G$45,'DB2'!$F$45,LEFT($A11,2)='DB2'!$G$46,'DB2'!$F$46,LEFT($A11,2)=LEFT('DB2'!$G$47,2),'DB2'!$F$47)</f>
        <v xml:space="preserve">Commissioned Research </v>
      </c>
      <c r="C11" s="16" t="str">
        <f>VLOOKUP($A11,'DB1'!$C:$Q,12,0)</f>
        <v>Study on Developing a System for Flood Risk Evaluation and Expected Annual Damage based on Flood Damage Types (Year 2)</v>
      </c>
      <c r="D11" s="12" t="str">
        <f>VLOOKUP($A11,'DB1'!$C:$Q,13,0)</f>
        <v xml:space="preserve">Jung, Kichul </v>
      </c>
      <c r="E11" s="16" t="str">
        <f>VLOOKUP($A11,'DB1'!$C:$Q,14,0)</f>
        <v>Water Management</v>
      </c>
      <c r="F11" s="16" t="str">
        <f>VLOOKUP($A11,'DB1'!$C:$Q,15,0)</f>
        <v>Environmental Economics</v>
      </c>
      <c r="G11" s="17">
        <f>VLOOKUP($A11,'DB1'!$C:$Q,9,0)</f>
        <v>45352</v>
      </c>
      <c r="H11" s="17">
        <f>VLOOKUP($A11,'DB1'!$C:$Q,10,0)</f>
        <v>45716</v>
      </c>
    </row>
    <row r="12" spans="1:16">
      <c r="A12" t="str">
        <f>'DB1'!$C9</f>
        <v>2024-040</v>
      </c>
      <c r="B12" s="16" t="str" cm="1">
        <f t="array" ref="B12">_xlfn.IFS(LEFT($A12,2)='DB2'!$G$43,'DB2'!$F$43,LEFT($A12,2)='DB2'!$G$44,'DB2'!$F$44,LEFT($A12,2)='DB2'!$H$44,'DB2'!$F$44,LEFT($A12,2)='DB2'!$I$44,'DB2'!$F$44,LEFT($A12,2)='DB2'!$J$44,'DB2'!$F$44,LEFT($A12,2)='DB2'!$G$45,'DB2'!$F$45,LEFT($A12,2)='DB2'!$G$46,'DB2'!$F$46,LEFT($A12,2)=LEFT('DB2'!$G$47,2),'DB2'!$F$47)</f>
        <v xml:space="preserve">Commissioned Research </v>
      </c>
      <c r="C12" s="16" t="str">
        <f>VLOOKUP($A12,'DB1'!$C:$Q,12,0)</f>
        <v>Philippine Climate Resilience Cities Project (KOICA)</v>
      </c>
      <c r="D12" s="12" t="str">
        <f>VLOOKUP($A12,'DB1'!$C:$Q,13,0)</f>
        <v>Cho, Hanna</v>
      </c>
      <c r="E12" s="16" t="str">
        <f>VLOOKUP($A12,'DB1'!$C:$Q,14,0)</f>
        <v>Climate Adaptation</v>
      </c>
      <c r="F12" s="16" t="str">
        <f>VLOOKUP($A12,'DB1'!$C:$Q,15,0)</f>
        <v>International &amp; Regional Collaboration</v>
      </c>
      <c r="G12" s="17">
        <f>VLOOKUP($A12,'DB1'!$C:$Q,9,0)</f>
        <v>45349</v>
      </c>
      <c r="H12" s="17">
        <f>VLOOKUP($A12,'DB1'!$C:$Q,10,0)</f>
        <v>46387</v>
      </c>
    </row>
    <row r="13" spans="1:16">
      <c r="A13" t="str">
        <f>'DB1'!$C10</f>
        <v>2024-043</v>
      </c>
      <c r="B13" s="16" t="str" cm="1">
        <f t="array" ref="B13">_xlfn.IFS(LEFT($A13,2)='DB2'!$G$43,'DB2'!$F$43,LEFT($A13,2)='DB2'!$G$44,'DB2'!$F$44,LEFT($A13,2)='DB2'!$H$44,'DB2'!$F$44,LEFT($A13,2)='DB2'!$I$44,'DB2'!$F$44,LEFT($A13,2)='DB2'!$J$44,'DB2'!$F$44,LEFT($A13,2)='DB2'!$G$45,'DB2'!$F$45,LEFT($A13,2)='DB2'!$G$46,'DB2'!$F$46,LEFT($A13,2)=LEFT('DB2'!$G$47,2),'DB2'!$F$47)</f>
        <v xml:space="preserve">Commissioned Research </v>
      </c>
      <c r="C13" s="16" t="str">
        <f>VLOOKUP($A13,'DB1'!$C:$Q,12,0)</f>
        <v>Developing a National Candidate Site List for Green Restoration (Year 2)</v>
      </c>
      <c r="D13" s="12" t="str">
        <f>VLOOKUP($A13,'DB1'!$C:$Q,13,0)</f>
        <v>Son, Seungwoo</v>
      </c>
      <c r="E13" s="16" t="str">
        <f>VLOOKUP($A13,'DB1'!$C:$Q,14,0)</f>
        <v>Land Management and Environment</v>
      </c>
      <c r="F13" s="16" t="str">
        <f>VLOOKUP($A13,'DB1'!$C:$Q,15,0)</f>
        <v>Ecology</v>
      </c>
      <c r="G13" s="17">
        <f>VLOOKUP($A13,'DB1'!$C:$Q,9,0)</f>
        <v>45371</v>
      </c>
      <c r="H13" s="17">
        <f>VLOOKUP($A13,'DB1'!$C:$Q,10,0)</f>
        <v>45735</v>
      </c>
    </row>
    <row r="14" spans="1:16">
      <c r="A14" t="str">
        <f>'DB1'!$C11</f>
        <v>2024-045</v>
      </c>
      <c r="B14" s="16" t="str" cm="1">
        <f t="array" ref="B14">_xlfn.IFS(LEFT($A14,2)='DB2'!$G$43,'DB2'!$F$43,LEFT($A14,2)='DB2'!$G$44,'DB2'!$F$44,LEFT($A14,2)='DB2'!$H$44,'DB2'!$F$44,LEFT($A14,2)='DB2'!$I$44,'DB2'!$F$44,LEFT($A14,2)='DB2'!$J$44,'DB2'!$F$44,LEFT($A14,2)='DB2'!$G$45,'DB2'!$F$45,LEFT($A14,2)='DB2'!$G$46,'DB2'!$F$46,LEFT($A14,2)=LEFT('DB2'!$G$47,2),'DB2'!$F$47)</f>
        <v xml:space="preserve">Commissioned Research </v>
      </c>
      <c r="C14" s="16" t="str">
        <f>VLOOKUP($A14,'DB1'!$C:$Q,12,0)</f>
        <v>Building an AI-Based Training Dataset for Automatic Wetland Boundary Classification</v>
      </c>
      <c r="D14" s="12" t="str">
        <f>VLOOKUP($A14,'DB1'!$C:$Q,13,0)</f>
        <v>Lee, MoungJin</v>
      </c>
      <c r="E14" s="16" t="str">
        <f>VLOOKUP($A14,'DB1'!$C:$Q,14,0)</f>
        <v>Environmental Informatics</v>
      </c>
      <c r="F14" s="16" t="str">
        <f>VLOOKUP($A14,'DB1'!$C:$Q,15,0)</f>
        <v>Land Management and Environment</v>
      </c>
      <c r="G14" s="17">
        <f>VLOOKUP($A14,'DB1'!$C:$Q,9,0)</f>
        <v>45372</v>
      </c>
      <c r="H14" s="17">
        <f>VLOOKUP($A14,'DB1'!$C:$Q,10,0)</f>
        <v>45671</v>
      </c>
    </row>
    <row r="15" spans="1:16">
      <c r="A15" t="str">
        <f>'DB1'!$C12</f>
        <v>2024-048</v>
      </c>
      <c r="B15" s="16" t="str" cm="1">
        <f t="array" ref="B15">_xlfn.IFS(LEFT($A15,2)='DB2'!$G$43,'DB2'!$F$43,LEFT($A15,2)='DB2'!$G$44,'DB2'!$F$44,LEFT($A15,2)='DB2'!$H$44,'DB2'!$F$44,LEFT($A15,2)='DB2'!$I$44,'DB2'!$F$44,LEFT($A15,2)='DB2'!$J$44,'DB2'!$F$44,LEFT($A15,2)='DB2'!$G$45,'DB2'!$F$45,LEFT($A15,2)='DB2'!$G$46,'DB2'!$F$46,LEFT($A15,2)=LEFT('DB2'!$G$47,2),'DB2'!$F$47)</f>
        <v xml:space="preserve">Commissioned Research </v>
      </c>
      <c r="C15" s="16" t="str">
        <f>VLOOKUP($A15,'DB1'!$C:$Q,12,0)</f>
        <v>Developing Methodologies for Environmental Assessment of Renewable Energy</v>
      </c>
      <c r="D15" s="12" t="str">
        <f>VLOOKUP($A15,'DB1'!$C:$Q,13,0)</f>
        <v>Kim, Taeyun</v>
      </c>
      <c r="E15" s="16" t="str">
        <f>VLOOKUP($A15,'DB1'!$C:$Q,14,0)</f>
        <v>Environmental Assessment</v>
      </c>
      <c r="F15" s="16" t="str">
        <f>VLOOKUP($A15,'DB1'!$C:$Q,15,0)</f>
        <v>Climate Environment (GHG Reduction)</v>
      </c>
      <c r="G15" s="17">
        <f>VLOOKUP($A15,'DB1'!$C:$Q,9,0)</f>
        <v>45380</v>
      </c>
      <c r="H15" s="17">
        <f>VLOOKUP($A15,'DB1'!$C:$Q,10,0)</f>
        <v>45679</v>
      </c>
    </row>
    <row r="16" spans="1:16">
      <c r="A16" t="str">
        <f>'DB1'!$C13</f>
        <v>2024-053</v>
      </c>
      <c r="B16" s="16" t="str" cm="1">
        <f t="array" ref="B16">_xlfn.IFS(LEFT($A16,2)='DB2'!$G$43,'DB2'!$F$43,LEFT($A16,2)='DB2'!$G$44,'DB2'!$F$44,LEFT($A16,2)='DB2'!$H$44,'DB2'!$F$44,LEFT($A16,2)='DB2'!$I$44,'DB2'!$F$44,LEFT($A16,2)='DB2'!$J$44,'DB2'!$F$44,LEFT($A16,2)='DB2'!$G$45,'DB2'!$F$45,LEFT($A16,2)='DB2'!$G$46,'DB2'!$F$46,LEFT($A16,2)=LEFT('DB2'!$G$47,2),'DB2'!$F$47)</f>
        <v xml:space="preserve">Commissioned Research </v>
      </c>
      <c r="C16" s="16" t="str">
        <f>VLOOKUP($A16,'DB1'!$C:$Q,12,0)</f>
        <v>Promoting International Cooperation in the Water Sector (I)</v>
      </c>
      <c r="D16" s="12" t="str">
        <f>VLOOKUP($A16,'DB1'!$C:$Q,13,0)</f>
        <v>Kim, Ikjae</v>
      </c>
      <c r="E16" s="16" t="str">
        <f>VLOOKUP($A16,'DB1'!$C:$Q,14,0)</f>
        <v>Water Management</v>
      </c>
      <c r="F16" s="16" t="str">
        <f>VLOOKUP($A16,'DB1'!$C:$Q,15,0)</f>
        <v>International &amp; Regional Collaboration</v>
      </c>
      <c r="G16" s="17">
        <f>VLOOKUP($A16,'DB1'!$C:$Q,9,0)</f>
        <v>45399</v>
      </c>
      <c r="H16" s="17">
        <f>VLOOKUP($A16,'DB1'!$C:$Q,10,0)</f>
        <v>45698</v>
      </c>
    </row>
    <row r="17" spans="1:8">
      <c r="A17" t="str">
        <f>'DB1'!$C14</f>
        <v>2024-054</v>
      </c>
      <c r="B17" s="16" t="str" cm="1">
        <f t="array" ref="B17">_xlfn.IFS(LEFT($A17,2)='DB2'!$G$43,'DB2'!$F$43,LEFT($A17,2)='DB2'!$G$44,'DB2'!$F$44,LEFT($A17,2)='DB2'!$H$44,'DB2'!$F$44,LEFT($A17,2)='DB2'!$I$44,'DB2'!$F$44,LEFT($A17,2)='DB2'!$J$44,'DB2'!$F$44,LEFT($A17,2)='DB2'!$G$45,'DB2'!$F$45,LEFT($A17,2)='DB2'!$G$46,'DB2'!$F$46,LEFT($A17,2)=LEFT('DB2'!$G$47,2),'DB2'!$F$47)</f>
        <v xml:space="preserve">Commissioned Research </v>
      </c>
      <c r="C17" s="16" t="str">
        <f>VLOOKUP($A17,'DB1'!$C:$Q,12,0)</f>
        <v>Compilation of 2024 Environmental Tax and Revenue Account Statistics</v>
      </c>
      <c r="D17" s="12" t="str">
        <f>VLOOKUP($A17,'DB1'!$C:$Q,13,0)</f>
        <v>Kang, Sungwon</v>
      </c>
      <c r="E17" s="16" t="str">
        <f>VLOOKUP($A17,'DB1'!$C:$Q,14,0)</f>
        <v>Environmental Economics</v>
      </c>
      <c r="F17" s="16">
        <f>VLOOKUP($A17,'DB1'!$C:$Q,15,0)</f>
        <v>0</v>
      </c>
      <c r="G17" s="17">
        <f>VLOOKUP($A17,'DB1'!$C:$Q,9,0)</f>
        <v>45400</v>
      </c>
      <c r="H17" s="17">
        <f>VLOOKUP($A17,'DB1'!$C:$Q,10,0)</f>
        <v>45669</v>
      </c>
    </row>
    <row r="18" spans="1:8">
      <c r="A18" t="str">
        <f>'DB1'!$C15</f>
        <v>2024-055</v>
      </c>
      <c r="B18" s="16" t="str" cm="1">
        <f t="array" ref="B18">_xlfn.IFS(LEFT($A18,2)='DB2'!$G$43,'DB2'!$F$43,LEFT($A18,2)='DB2'!$G$44,'DB2'!$F$44,LEFT($A18,2)='DB2'!$H$44,'DB2'!$F$44,LEFT($A18,2)='DB2'!$I$44,'DB2'!$F$44,LEFT($A18,2)='DB2'!$J$44,'DB2'!$F$44,LEFT($A18,2)='DB2'!$G$45,'DB2'!$F$45,LEFT($A18,2)='DB2'!$G$46,'DB2'!$F$46,LEFT($A18,2)=LEFT('DB2'!$G$47,2),'DB2'!$F$47)</f>
        <v xml:space="preserve">Commissioned Research </v>
      </c>
      <c r="C18" s="16" t="str">
        <f>VLOOKUP($A18,'DB1'!$C:$Q,12,0)</f>
        <v>Developing Response Strategies for Framework Plan and Feasibility Assessment in Environmental Restoration of Wanggung-ri, Iksan</v>
      </c>
      <c r="D18" s="12" t="str">
        <f>VLOOKUP($A18,'DB1'!$C:$Q,13,0)</f>
        <v>Son, Seungwoo</v>
      </c>
      <c r="E18" s="16" t="str">
        <f>VLOOKUP($A18,'DB1'!$C:$Q,14,0)</f>
        <v>Land Management and Environment</v>
      </c>
      <c r="F18" s="16" t="str">
        <f>VLOOKUP($A18,'DB1'!$C:$Q,15,0)</f>
        <v>Ecology</v>
      </c>
      <c r="G18" s="17">
        <f>VLOOKUP($A18,'DB1'!$C:$Q,9,0)</f>
        <v>45408</v>
      </c>
      <c r="H18" s="17">
        <f>VLOOKUP($A18,'DB1'!$C:$Q,10,0)</f>
        <v>45772</v>
      </c>
    </row>
    <row r="19" spans="1:8">
      <c r="A19" t="str">
        <f>'DB1'!$C16</f>
        <v>2024-056</v>
      </c>
      <c r="B19" s="16" t="str" cm="1">
        <f t="array" ref="B19">_xlfn.IFS(LEFT($A19,2)='DB2'!$G$43,'DB2'!$F$43,LEFT($A19,2)='DB2'!$G$44,'DB2'!$F$44,LEFT($A19,2)='DB2'!$H$44,'DB2'!$F$44,LEFT($A19,2)='DB2'!$I$44,'DB2'!$F$44,LEFT($A19,2)='DB2'!$J$44,'DB2'!$F$44,LEFT($A19,2)='DB2'!$G$45,'DB2'!$F$45,LEFT($A19,2)='DB2'!$G$46,'DB2'!$F$46,LEFT($A19,2)=LEFT('DB2'!$G$47,2),'DB2'!$F$47)</f>
        <v xml:space="preserve">Commissioned Research </v>
      </c>
      <c r="C19" s="16" t="str">
        <f>VLOOKUP($A19,'DB1'!$C:$Q,12,0)</f>
        <v>Analysis of Disease Incidence Using Big Data Linking National Health Screening Records and Air Pollution Exposure, and Release of Research Data</v>
      </c>
      <c r="D19" s="12" t="str">
        <f>VLOOKUP($A19,'DB1'!$C:$Q,13,0)</f>
        <v>Kang, Sungwon</v>
      </c>
      <c r="E19" s="16" t="str">
        <f>VLOOKUP($A19,'DB1'!$C:$Q,14,0)</f>
        <v>Environmental Health</v>
      </c>
      <c r="F19" s="16" t="str">
        <f>VLOOKUP($A19,'DB1'!$C:$Q,15,0)</f>
        <v>Atmospheric Environment</v>
      </c>
      <c r="G19" s="17">
        <f>VLOOKUP($A19,'DB1'!$C:$Q,9,0)</f>
        <v>45383</v>
      </c>
      <c r="H19" s="17">
        <f>VLOOKUP($A19,'DB1'!$C:$Q,10,0)</f>
        <v>45777</v>
      </c>
    </row>
    <row r="20" spans="1:8">
      <c r="A20" t="str">
        <f>'DB1'!$C17</f>
        <v>2024-061</v>
      </c>
      <c r="B20" s="16" t="str" cm="1">
        <f t="array" ref="B20">_xlfn.IFS(LEFT($A20,2)='DB2'!$G$43,'DB2'!$F$43,LEFT($A20,2)='DB2'!$G$44,'DB2'!$F$44,LEFT($A20,2)='DB2'!$H$44,'DB2'!$F$44,LEFT($A20,2)='DB2'!$I$44,'DB2'!$F$44,LEFT($A20,2)='DB2'!$J$44,'DB2'!$F$44,LEFT($A20,2)='DB2'!$G$45,'DB2'!$F$45,LEFT($A20,2)='DB2'!$G$46,'DB2'!$F$46,LEFT($A20,2)=LEFT('DB2'!$G$47,2),'DB2'!$F$47)</f>
        <v xml:space="preserve">Commissioned Research </v>
      </c>
      <c r="C20" s="16" t="str">
        <f>VLOOKUP($A20,'DB1'!$C:$Q,12,0)</f>
        <v>Preparing Regulatory Revisions for Environmental International Development Cooperation Projects</v>
      </c>
      <c r="D20" s="12" t="str">
        <f>VLOOKUP($A20,'DB1'!$C:$Q,13,0)</f>
        <v>Myeong, Soojeong</v>
      </c>
      <c r="E20" s="16" t="str">
        <f>VLOOKUP($A20,'DB1'!$C:$Q,14,0)</f>
        <v>International &amp; Regional Collaboration</v>
      </c>
      <c r="F20" s="16">
        <f>VLOOKUP($A20,'DB1'!$C:$Q,15,0)</f>
        <v>0</v>
      </c>
      <c r="G20" s="17">
        <f>VLOOKUP($A20,'DB1'!$C:$Q,9,0)</f>
        <v>45413</v>
      </c>
      <c r="H20" s="17">
        <f>VLOOKUP($A20,'DB1'!$C:$Q,10,0)</f>
        <v>45714</v>
      </c>
    </row>
    <row r="21" spans="1:8">
      <c r="A21" t="str">
        <f>'DB1'!$C18</f>
        <v>2024-062</v>
      </c>
      <c r="B21" s="16" t="str" cm="1">
        <f t="array" ref="B21">_xlfn.IFS(LEFT($A21,2)='DB2'!$G$43,'DB2'!$F$43,LEFT($A21,2)='DB2'!$G$44,'DB2'!$F$44,LEFT($A21,2)='DB2'!$H$44,'DB2'!$F$44,LEFT($A21,2)='DB2'!$I$44,'DB2'!$F$44,LEFT($A21,2)='DB2'!$J$44,'DB2'!$F$44,LEFT($A21,2)='DB2'!$G$45,'DB2'!$F$45,LEFT($A21,2)='DB2'!$G$46,'DB2'!$F$46,LEFT($A21,2)=LEFT('DB2'!$G$47,2),'DB2'!$F$47)</f>
        <v xml:space="preserve">Commissioned Research </v>
      </c>
      <c r="C21" s="16" t="str">
        <f>VLOOKUP($A21,'DB1'!$C:$Q,12,0)</f>
        <v>Compilation of Environmental Protection Expenditure Accounts for 2023</v>
      </c>
      <c r="D21" s="12" t="str">
        <f>VLOOKUP($A21,'DB1'!$C:$Q,13,0)</f>
        <v>Kim, Jongho</v>
      </c>
      <c r="E21" s="16" t="str">
        <f>VLOOKUP($A21,'DB1'!$C:$Q,14,0)</f>
        <v>Environmental Economics</v>
      </c>
      <c r="F21" s="16" t="str">
        <f>VLOOKUP($A21,'DB1'!$C:$Q,15,0)</f>
        <v>Environmental Informatics</v>
      </c>
      <c r="G21" s="17">
        <f>VLOOKUP($A21,'DB1'!$C:$Q,9,0)</f>
        <v>45415</v>
      </c>
      <c r="H21" s="17">
        <f>VLOOKUP($A21,'DB1'!$C:$Q,10,0)</f>
        <v>45747</v>
      </c>
    </row>
    <row r="22" spans="1:8">
      <c r="A22" t="str">
        <f>'DB1'!$C19</f>
        <v>2024-068</v>
      </c>
      <c r="B22" s="16" t="str" cm="1">
        <f t="array" ref="B22">_xlfn.IFS(LEFT($A22,2)='DB2'!$G$43,'DB2'!$F$43,LEFT($A22,2)='DB2'!$G$44,'DB2'!$F$44,LEFT($A22,2)='DB2'!$H$44,'DB2'!$F$44,LEFT($A22,2)='DB2'!$I$44,'DB2'!$F$44,LEFT($A22,2)='DB2'!$J$44,'DB2'!$F$44,LEFT($A22,2)='DB2'!$G$45,'DB2'!$F$45,LEFT($A22,2)='DB2'!$G$46,'DB2'!$F$46,LEFT($A22,2)=LEFT('DB2'!$G$47,2),'DB2'!$F$47)</f>
        <v xml:space="preserve">Commissioned Research </v>
      </c>
      <c r="C22" s="16" t="str">
        <f>VLOOKUP($A22,'DB1'!$C:$Q,12,0)</f>
        <v>Developing a Comprehensive Database and Utilization Framework for Carbon Neutrality Technologies in the Energy Sector (Transition, Industry, Transport, and Buildings)</v>
      </c>
      <c r="D22" s="12" t="str">
        <f>VLOOKUP($A22,'DB1'!$C:$Q,13,0)</f>
        <v>Kim, Sungjin</v>
      </c>
      <c r="E22" s="16" t="str">
        <f>VLOOKUP($A22,'DB1'!$C:$Q,14,0)</f>
        <v>Climate Environment (GHG Reduction)</v>
      </c>
      <c r="F22" s="16" t="str">
        <f>VLOOKUP($A22,'DB1'!$C:$Q,15,0)</f>
        <v>Environmental Informatics</v>
      </c>
      <c r="G22" s="17">
        <f>VLOOKUP($A22,'DB1'!$C:$Q,9,0)</f>
        <v>45441</v>
      </c>
      <c r="H22" s="17">
        <f>VLOOKUP($A22,'DB1'!$C:$Q,10,0)</f>
        <v>45738</v>
      </c>
    </row>
    <row r="23" spans="1:8">
      <c r="A23" t="str">
        <f>'DB1'!$C20</f>
        <v>2024-071</v>
      </c>
      <c r="B23" s="16" t="str" cm="1">
        <f t="array" ref="B23">_xlfn.IFS(LEFT($A23,2)='DB2'!$G$43,'DB2'!$F$43,LEFT($A23,2)='DB2'!$G$44,'DB2'!$F$44,LEFT($A23,2)='DB2'!$H$44,'DB2'!$F$44,LEFT($A23,2)='DB2'!$I$44,'DB2'!$F$44,LEFT($A23,2)='DB2'!$J$44,'DB2'!$F$44,LEFT($A23,2)='DB2'!$G$45,'DB2'!$F$45,LEFT($A23,2)='DB2'!$G$46,'DB2'!$F$46,LEFT($A23,2)=LEFT('DB2'!$G$47,2),'DB2'!$F$47)</f>
        <v xml:space="preserve">Commissioned Research </v>
      </c>
      <c r="C23" s="16" t="str">
        <f>VLOOKUP($A23,'DB1'!$C:$Q,12,0)</f>
        <v>Developing Appropriate Treatment Methods for Public Wastewater Facilities Handling Industrial Wastewater from Secondary Battery Production</v>
      </c>
      <c r="D23" s="12" t="str">
        <f>VLOOKUP($A23,'DB1'!$C:$Q,13,0)</f>
        <v>Han, Daeho</v>
      </c>
      <c r="E23" s="16" t="str">
        <f>VLOOKUP($A23,'DB1'!$C:$Q,14,0)</f>
        <v>Water Management</v>
      </c>
      <c r="F23" s="16" t="str">
        <f>VLOOKUP($A23,'DB1'!$C:$Q,15,0)</f>
        <v>Circular Economy</v>
      </c>
      <c r="G23" s="17">
        <f>VLOOKUP($A23,'DB1'!$C:$Q,9,0)</f>
        <v>45446</v>
      </c>
      <c r="H23" s="17">
        <f>VLOOKUP($A23,'DB1'!$C:$Q,10,0)</f>
        <v>45716</v>
      </c>
    </row>
    <row r="24" spans="1:8">
      <c r="A24" t="str">
        <f>'DB1'!$C21</f>
        <v>2024-072</v>
      </c>
      <c r="B24" s="16" t="str" cm="1">
        <f t="array" ref="B24">_xlfn.IFS(LEFT($A24,2)='DB2'!$G$43,'DB2'!$F$43,LEFT($A24,2)='DB2'!$G$44,'DB2'!$F$44,LEFT($A24,2)='DB2'!$H$44,'DB2'!$F$44,LEFT($A24,2)='DB2'!$I$44,'DB2'!$F$44,LEFT($A24,2)='DB2'!$J$44,'DB2'!$F$44,LEFT($A24,2)='DB2'!$G$45,'DB2'!$F$45,LEFT($A24,2)='DB2'!$G$46,'DB2'!$F$46,LEFT($A24,2)=LEFT('DB2'!$G$47,2),'DB2'!$F$47)</f>
        <v xml:space="preserve">Commissioned Research </v>
      </c>
      <c r="C24" s="16" t="str">
        <f>VLOOKUP($A24,'DB1'!$C:$Q,12,0)</f>
        <v>Developing Strategies to Improve Environmental Impact Assessments for Urban Development Projects</v>
      </c>
      <c r="D24" s="12" t="str">
        <f>VLOOKUP($A24,'DB1'!$C:$Q,13,0)</f>
        <v>Yi, Youngjae</v>
      </c>
      <c r="E24" s="16" t="str">
        <f>VLOOKUP($A24,'DB1'!$C:$Q,14,0)</f>
        <v>Environmental Assessment</v>
      </c>
      <c r="F24" s="16" t="str">
        <f>VLOOKUP($A24,'DB1'!$C:$Q,15,0)</f>
        <v>Land Management and Environment</v>
      </c>
      <c r="G24" s="17">
        <f>VLOOKUP($A24,'DB1'!$C:$Q,9,0)</f>
        <v>45447</v>
      </c>
      <c r="H24" s="17">
        <f>VLOOKUP($A24,'DB1'!$C:$Q,10,0)</f>
        <v>45716</v>
      </c>
    </row>
    <row r="25" spans="1:8">
      <c r="A25" t="str">
        <f>'DB1'!$C22</f>
        <v>2024-074</v>
      </c>
      <c r="B25" s="16" t="str" cm="1">
        <f t="array" ref="B25">_xlfn.IFS(LEFT($A25,2)='DB2'!$G$43,'DB2'!$F$43,LEFT($A25,2)='DB2'!$G$44,'DB2'!$F$44,LEFT($A25,2)='DB2'!$H$44,'DB2'!$F$44,LEFT($A25,2)='DB2'!$I$44,'DB2'!$F$44,LEFT($A25,2)='DB2'!$J$44,'DB2'!$F$44,LEFT($A25,2)='DB2'!$G$45,'DB2'!$F$45,LEFT($A25,2)='DB2'!$G$46,'DB2'!$F$46,LEFT($A25,2)=LEFT('DB2'!$G$47,2),'DB2'!$F$47)</f>
        <v xml:space="preserve">Commissioned Research </v>
      </c>
      <c r="C25" s="16" t="str">
        <f>VLOOKUP($A25,'DB1'!$C:$Q,12,0)</f>
        <v>Developing Strategies to Improve Industrial Wastewater Management</v>
      </c>
      <c r="D25" s="12" t="str">
        <f>VLOOKUP($A25,'DB1'!$C:$Q,13,0)</f>
        <v>Han, Daeho</v>
      </c>
      <c r="E25" s="16" t="str">
        <f>VLOOKUP($A25,'DB1'!$C:$Q,14,0)</f>
        <v>Water Management</v>
      </c>
      <c r="F25" s="16" t="str">
        <f>VLOOKUP($A25,'DB1'!$C:$Q,15,0)</f>
        <v>Environmental Health</v>
      </c>
      <c r="G25" s="17">
        <f>VLOOKUP($A25,'DB1'!$C:$Q,9,0)</f>
        <v>45456</v>
      </c>
      <c r="H25" s="17">
        <f>VLOOKUP($A25,'DB1'!$C:$Q,10,0)</f>
        <v>45807</v>
      </c>
    </row>
    <row r="26" spans="1:8">
      <c r="A26" t="str">
        <f>'DB1'!$C23</f>
        <v>2024-075</v>
      </c>
      <c r="B26" s="16" t="str" cm="1">
        <f t="array" ref="B26">_xlfn.IFS(LEFT($A26,2)='DB2'!$G$43,'DB2'!$F$43,LEFT($A26,2)='DB2'!$G$44,'DB2'!$F$44,LEFT($A26,2)='DB2'!$H$44,'DB2'!$F$44,LEFT($A26,2)='DB2'!$I$44,'DB2'!$F$44,LEFT($A26,2)='DB2'!$J$44,'DB2'!$F$44,LEFT($A26,2)='DB2'!$G$45,'DB2'!$F$45,LEFT($A26,2)='DB2'!$G$46,'DB2'!$F$46,LEFT($A26,2)=LEFT('DB2'!$G$47,2),'DB2'!$F$47)</f>
        <v xml:space="preserve">Commissioned Research </v>
      </c>
      <c r="C26" s="16" t="str">
        <f>VLOOKUP($A26,'DB1'!$C:$Q,12,0)</f>
        <v>2024 Capacity-Building, Including Operation of the Green Chemistry Council</v>
      </c>
      <c r="D26" s="12" t="str">
        <f>VLOOKUP($A26,'DB1'!$C:$Q,13,0)</f>
        <v>Suh, Yang-won</v>
      </c>
      <c r="E26" s="16" t="str">
        <f>VLOOKUP($A26,'DB1'!$C:$Q,14,0)</f>
        <v>Environmental Health</v>
      </c>
      <c r="F26" s="16" t="str">
        <f>VLOOKUP($A26,'DB1'!$C:$Q,15,0)</f>
        <v>Climate Adaptation</v>
      </c>
      <c r="G26" s="17">
        <f>VLOOKUP($A26,'DB1'!$C:$Q,9,0)</f>
        <v>45456</v>
      </c>
      <c r="H26" s="17">
        <f>VLOOKUP($A26,'DB1'!$C:$Q,10,0)</f>
        <v>45747</v>
      </c>
    </row>
    <row r="27" spans="1:8">
      <c r="A27" t="str">
        <f>'DB1'!$C24</f>
        <v>2024-080</v>
      </c>
      <c r="B27" s="16" t="str" cm="1">
        <f t="array" ref="B27">_xlfn.IFS(LEFT($A27,2)='DB2'!$G$43,'DB2'!$F$43,LEFT($A27,2)='DB2'!$G$44,'DB2'!$F$44,LEFT($A27,2)='DB2'!$H$44,'DB2'!$F$44,LEFT($A27,2)='DB2'!$I$44,'DB2'!$F$44,LEFT($A27,2)='DB2'!$J$44,'DB2'!$F$44,LEFT($A27,2)='DB2'!$G$45,'DB2'!$F$45,LEFT($A27,2)='DB2'!$G$46,'DB2'!$F$46,LEFT($A27,2)=LEFT('DB2'!$G$47,2),'DB2'!$F$47)</f>
        <v xml:space="preserve">Commissioned Research </v>
      </c>
      <c r="C27" s="16" t="str">
        <f>VLOOKUP($A27,'DB1'!$C:$Q,12,0)</f>
        <v xml:space="preserve">Research on Reforming the 2025 Subsidy Scheme for Electric Vehicles </v>
      </c>
      <c r="D27" s="12" t="str">
        <f>VLOOKUP($A27,'DB1'!$C:$Q,13,0)</f>
        <v>Lee, Jeongeun</v>
      </c>
      <c r="E27" s="16" t="str">
        <f>VLOOKUP($A27,'DB1'!$C:$Q,14,0)</f>
        <v>Climate Environment (GHG Reduction)</v>
      </c>
      <c r="F27" s="16" t="str">
        <f>VLOOKUP($A27,'DB1'!$C:$Q,15,0)</f>
        <v>Environmental Economics</v>
      </c>
      <c r="G27" s="17">
        <f>VLOOKUP($A27,'DB1'!$C:$Q,9,0)</f>
        <v>45488</v>
      </c>
      <c r="H27" s="17">
        <f>VLOOKUP($A27,'DB1'!$C:$Q,10,0)</f>
        <v>45730</v>
      </c>
    </row>
    <row r="28" spans="1:8">
      <c r="A28" t="str">
        <f>'DB1'!$C25</f>
        <v>2024-081</v>
      </c>
      <c r="B28" s="16" t="str" cm="1">
        <f t="array" ref="B28">_xlfn.IFS(LEFT($A28,2)='DB2'!$G$43,'DB2'!$F$43,LEFT($A28,2)='DB2'!$G$44,'DB2'!$F$44,LEFT($A28,2)='DB2'!$H$44,'DB2'!$F$44,LEFT($A28,2)='DB2'!$I$44,'DB2'!$F$44,LEFT($A28,2)='DB2'!$J$44,'DB2'!$F$44,LEFT($A28,2)='DB2'!$G$45,'DB2'!$F$45,LEFT($A28,2)='DB2'!$G$46,'DB2'!$F$46,LEFT($A28,2)=LEFT('DB2'!$G$47,2),'DB2'!$F$47)</f>
        <v xml:space="preserve">Commissioned Research </v>
      </c>
      <c r="C28" s="16" t="str">
        <f>VLOOKUP($A28,'DB1'!$C:$Q,12,0)</f>
        <v>Advancing Environmental Policies for Enhanced Environmental Management</v>
      </c>
      <c r="D28" s="12" t="str">
        <f>VLOOKUP($A28,'DB1'!$C:$Q,13,0)</f>
        <v>Park, Chang Sug</v>
      </c>
      <c r="E28" s="16" t="str">
        <f>VLOOKUP($A28,'DB1'!$C:$Q,14,0)</f>
        <v>Land Management and Environment</v>
      </c>
      <c r="F28" s="16" t="str">
        <f>VLOOKUP($A28,'DB1'!$C:$Q,15,0)</f>
        <v>Socio-Environmental Interface</v>
      </c>
      <c r="G28" s="17">
        <f>VLOOKUP($A28,'DB1'!$C:$Q,9,0)</f>
        <v>45488</v>
      </c>
      <c r="H28" s="17">
        <f>VLOOKUP($A28,'DB1'!$C:$Q,10,0)</f>
        <v>45747</v>
      </c>
    </row>
    <row r="29" spans="1:8">
      <c r="A29" t="str">
        <f>'DB1'!$C26</f>
        <v>2024-082</v>
      </c>
      <c r="B29" s="16" t="str" cm="1">
        <f t="array" ref="B29">_xlfn.IFS(LEFT($A29,2)='DB2'!$G$43,'DB2'!$F$43,LEFT($A29,2)='DB2'!$G$44,'DB2'!$F$44,LEFT($A29,2)='DB2'!$H$44,'DB2'!$F$44,LEFT($A29,2)='DB2'!$I$44,'DB2'!$F$44,LEFT($A29,2)='DB2'!$J$44,'DB2'!$F$44,LEFT($A29,2)='DB2'!$G$45,'DB2'!$F$45,LEFT($A29,2)='DB2'!$G$46,'DB2'!$F$46,LEFT($A29,2)=LEFT('DB2'!$G$47,2),'DB2'!$F$47)</f>
        <v xml:space="preserve">Commissioned Research </v>
      </c>
      <c r="C29" s="16" t="str">
        <f>VLOOKUP($A29,'DB1'!$C:$Q,12,0)</f>
        <v>Study on the Designation and Institutional Development for K-Carbon Neutral Cities</v>
      </c>
      <c r="D29" s="12" t="str">
        <f>VLOOKUP($A29,'DB1'!$C:$Q,13,0)</f>
        <v>Park, Chang Sug</v>
      </c>
      <c r="E29" s="16" t="str">
        <f>VLOOKUP($A29,'DB1'!$C:$Q,14,0)</f>
        <v>Climate Environment (GHG Reduction)</v>
      </c>
      <c r="F29" s="16" t="str">
        <f>VLOOKUP($A29,'DB1'!$C:$Q,15,0)</f>
        <v>Land Management and Environment</v>
      </c>
      <c r="G29" s="17">
        <f>VLOOKUP($A29,'DB1'!$C:$Q,9,0)</f>
        <v>45488</v>
      </c>
      <c r="H29" s="17">
        <f>VLOOKUP($A29,'DB1'!$C:$Q,10,0)</f>
        <v>45747</v>
      </c>
    </row>
    <row r="30" spans="1:8">
      <c r="A30" t="str">
        <f>'DB1'!$C27</f>
        <v>2024-084</v>
      </c>
      <c r="B30" s="16" t="str" cm="1">
        <f t="array" ref="B30">_xlfn.IFS(LEFT($A30,2)='DB2'!$G$43,'DB2'!$F$43,LEFT($A30,2)='DB2'!$G$44,'DB2'!$F$44,LEFT($A30,2)='DB2'!$H$44,'DB2'!$F$44,LEFT($A30,2)='DB2'!$I$44,'DB2'!$F$44,LEFT($A30,2)='DB2'!$J$44,'DB2'!$F$44,LEFT($A30,2)='DB2'!$G$45,'DB2'!$F$45,LEFT($A30,2)='DB2'!$G$46,'DB2'!$F$46,LEFT($A30,2)=LEFT('DB2'!$G$47,2),'DB2'!$F$47)</f>
        <v xml:space="preserve">Commissioned Research </v>
      </c>
      <c r="C30" s="16" t="str">
        <f>VLOOKUP($A30,'DB1'!$C:$Q,12,0)</f>
        <v>Developing a Master Plan for Conserving and Utilizing the Natural Value of Sorokdo</v>
      </c>
      <c r="D30" s="12" t="str">
        <f>VLOOKUP($A30,'DB1'!$C:$Q,13,0)</f>
        <v>Son, Seungwoo</v>
      </c>
      <c r="E30" s="16" t="str">
        <f>VLOOKUP($A30,'DB1'!$C:$Q,14,0)</f>
        <v>Land Management and Environment</v>
      </c>
      <c r="F30" s="16" t="str">
        <f>VLOOKUP($A30,'DB1'!$C:$Q,15,0)</f>
        <v>Ecology</v>
      </c>
      <c r="G30" s="17">
        <f>VLOOKUP($A30,'DB1'!$C:$Q,9,0)</f>
        <v>45495</v>
      </c>
      <c r="H30" s="17">
        <f>VLOOKUP($A30,'DB1'!$C:$Q,10,0)</f>
        <v>45734</v>
      </c>
    </row>
    <row r="31" spans="1:8">
      <c r="A31" t="str">
        <f>'DB1'!$C28</f>
        <v>2024-085</v>
      </c>
      <c r="B31" s="16" t="str" cm="1">
        <f t="array" ref="B31">_xlfn.IFS(LEFT($A31,2)='DB2'!$G$43,'DB2'!$F$43,LEFT($A31,2)='DB2'!$G$44,'DB2'!$F$44,LEFT($A31,2)='DB2'!$H$44,'DB2'!$F$44,LEFT($A31,2)='DB2'!$I$44,'DB2'!$F$44,LEFT($A31,2)='DB2'!$J$44,'DB2'!$F$44,LEFT($A31,2)='DB2'!$G$45,'DB2'!$F$45,LEFT($A31,2)='DB2'!$G$46,'DB2'!$F$46,LEFT($A31,2)=LEFT('DB2'!$G$47,2),'DB2'!$F$47)</f>
        <v xml:space="preserve">Commissioned Research </v>
      </c>
      <c r="C31" s="16" t="str">
        <f>VLOOKUP($A31,'DB1'!$C:$Q,12,0)</f>
        <v>Developing National Indicators for Genetic Diversity to Support Implementation of the Global Biodiversity Framework (Year 1)</v>
      </c>
      <c r="D31" s="12" t="str">
        <f>VLOOKUP($A31,'DB1'!$C:$Q,13,0)</f>
        <v xml:space="preserve">Koo, Kyung Ah </v>
      </c>
      <c r="E31" s="16" t="str">
        <f>VLOOKUP($A31,'DB1'!$C:$Q,14,0)</f>
        <v>Ecology</v>
      </c>
      <c r="F31" s="16" t="str">
        <f>VLOOKUP($A31,'DB1'!$C:$Q,15,0)</f>
        <v>International &amp; Regional Collaboration</v>
      </c>
      <c r="G31" s="17">
        <f>VLOOKUP($A31,'DB1'!$C:$Q,9,0)</f>
        <v>45502</v>
      </c>
      <c r="H31" s="17">
        <f>VLOOKUP($A31,'DB1'!$C:$Q,10,0)</f>
        <v>45744</v>
      </c>
    </row>
    <row r="32" spans="1:8">
      <c r="A32" t="str">
        <f>'DB1'!$C29</f>
        <v>2024-086</v>
      </c>
      <c r="B32" s="16" t="str" cm="1">
        <f t="array" ref="B32">_xlfn.IFS(LEFT($A32,2)='DB2'!$G$43,'DB2'!$F$43,LEFT($A32,2)='DB2'!$G$44,'DB2'!$F$44,LEFT($A32,2)='DB2'!$H$44,'DB2'!$F$44,LEFT($A32,2)='DB2'!$I$44,'DB2'!$F$44,LEFT($A32,2)='DB2'!$J$44,'DB2'!$F$44,LEFT($A32,2)='DB2'!$G$45,'DB2'!$F$45,LEFT($A32,2)='DB2'!$G$46,'DB2'!$F$46,LEFT($A32,2)=LEFT('DB2'!$G$47,2),'DB2'!$F$47)</f>
        <v xml:space="preserve">Commissioned Research </v>
      </c>
      <c r="C32" s="16" t="str">
        <f>VLOOKUP($A32,'DB1'!$C:$Q,12,0)</f>
        <v>Developing Technologies for Water Resources Satellite Utilization (II) (Phase 1)</v>
      </c>
      <c r="D32" s="12" t="str">
        <f>VLOOKUP($A32,'DB1'!$C:$Q,13,0)</f>
        <v>Lee, MoungJin</v>
      </c>
      <c r="E32" s="16" t="str">
        <f>VLOOKUP($A32,'DB1'!$C:$Q,14,0)</f>
        <v>Water Management</v>
      </c>
      <c r="F32" s="16" t="str">
        <f>VLOOKUP($A32,'DB1'!$C:$Q,15,0)</f>
        <v>Environmental Informatics</v>
      </c>
      <c r="G32" s="17">
        <f>VLOOKUP($A32,'DB1'!$C:$Q,9,0)</f>
        <v>45498</v>
      </c>
      <c r="H32" s="17">
        <f>VLOOKUP($A32,'DB1'!$C:$Q,10,0)</f>
        <v>45672</v>
      </c>
    </row>
    <row r="33" spans="1:8">
      <c r="A33" t="str">
        <f>'DB1'!$C30</f>
        <v>2024-087</v>
      </c>
      <c r="B33" s="16" t="str" cm="1">
        <f t="array" ref="B33">_xlfn.IFS(LEFT($A33,2)='DB2'!$G$43,'DB2'!$F$43,LEFT($A33,2)='DB2'!$G$44,'DB2'!$F$44,LEFT($A33,2)='DB2'!$H$44,'DB2'!$F$44,LEFT($A33,2)='DB2'!$I$44,'DB2'!$F$44,LEFT($A33,2)='DB2'!$J$44,'DB2'!$F$44,LEFT($A33,2)='DB2'!$G$45,'DB2'!$F$45,LEFT($A33,2)='DB2'!$G$46,'DB2'!$F$46,LEFT($A33,2)=LEFT('DB2'!$G$47,2),'DB2'!$F$47)</f>
        <v xml:space="preserve">Commissioned Research </v>
      </c>
      <c r="C33" s="16" t="str">
        <f>VLOOKUP($A33,'DB1'!$C:$Q,12,0)</f>
        <v>Developing Institutional and Policy Guidelines to Support Seawater Desalination (Year 2)</v>
      </c>
      <c r="D33" s="12" t="str">
        <f>VLOOKUP($A33,'DB1'!$C:$Q,13,0)</f>
        <v>Kang, Hyeongsik</v>
      </c>
      <c r="E33" s="16" t="str">
        <f>VLOOKUP($A33,'DB1'!$C:$Q,14,0)</f>
        <v>Water Management</v>
      </c>
      <c r="F33" s="16" t="str">
        <f>VLOOKUP($A33,'DB1'!$C:$Q,15,0)</f>
        <v>Marine Environment</v>
      </c>
      <c r="G33" s="17">
        <f>VLOOKUP($A33,'DB1'!$C:$Q,9,0)</f>
        <v>45499</v>
      </c>
      <c r="H33" s="17">
        <f>VLOOKUP($A33,'DB1'!$C:$Q,10,0)</f>
        <v>45678</v>
      </c>
    </row>
    <row r="34" spans="1:8">
      <c r="A34" t="str">
        <f>'DB1'!$C31</f>
        <v>2024-088</v>
      </c>
      <c r="B34" s="16" t="str" cm="1">
        <f t="array" ref="B34">_xlfn.IFS(LEFT($A34,2)='DB2'!$G$43,'DB2'!$F$43,LEFT($A34,2)='DB2'!$G$44,'DB2'!$F$44,LEFT($A34,2)='DB2'!$H$44,'DB2'!$F$44,LEFT($A34,2)='DB2'!$I$44,'DB2'!$F$44,LEFT($A34,2)='DB2'!$J$44,'DB2'!$F$44,LEFT($A34,2)='DB2'!$G$45,'DB2'!$F$45,LEFT($A34,2)='DB2'!$G$46,'DB2'!$F$46,LEFT($A34,2)=LEFT('DB2'!$G$47,2),'DB2'!$F$47)</f>
        <v xml:space="preserve">Commissioned Research </v>
      </c>
      <c r="C34" s="16" t="str">
        <f>VLOOKUP($A34,'DB1'!$C:$Q,12,0)</f>
        <v>Developing Environmental Strategies to Enhance Implementation of the SDGs</v>
      </c>
      <c r="D34" s="12" t="str">
        <f>VLOOKUP($A34,'DB1'!$C:$Q,13,0)</f>
        <v>Kim, Hyunno</v>
      </c>
      <c r="E34" s="16" t="str">
        <f>VLOOKUP($A34,'DB1'!$C:$Q,14,0)</f>
        <v>Environmental Economics</v>
      </c>
      <c r="F34" s="16" t="str">
        <f>VLOOKUP($A34,'DB1'!$C:$Q,15,0)</f>
        <v>Socio-Environmental Interface</v>
      </c>
      <c r="G34" s="17">
        <f>VLOOKUP($A34,'DB1'!$C:$Q,9,0)</f>
        <v>45509</v>
      </c>
      <c r="H34" s="17">
        <f>VLOOKUP($A34,'DB1'!$C:$Q,10,0)</f>
        <v>45873</v>
      </c>
    </row>
    <row r="35" spans="1:8" ht="49.5">
      <c r="A35" t="str">
        <f>'DB1'!$C32</f>
        <v>2024-089</v>
      </c>
      <c r="B35" s="16" t="str" cm="1">
        <f t="array" ref="B35">_xlfn.IFS(LEFT($A35,2)='DB2'!$G$43,'DB2'!$F$43,LEFT($A35,2)='DB2'!$G$44,'DB2'!$F$44,LEFT($A35,2)='DB2'!$H$44,'DB2'!$F$44,LEFT($A35,2)='DB2'!$I$44,'DB2'!$F$44,LEFT($A35,2)='DB2'!$J$44,'DB2'!$F$44,LEFT($A35,2)='DB2'!$G$45,'DB2'!$F$45,LEFT($A35,2)='DB2'!$G$46,'DB2'!$F$46,LEFT($A35,2)=LEFT('DB2'!$G$47,2),'DB2'!$F$47)</f>
        <v xml:space="preserve">Commissioned Research </v>
      </c>
      <c r="C35" s="16" t="str">
        <f>VLOOKUP($A35,'DB1'!$C:$Q,12,0)</f>
        <v>Trends in the Implementation of the CBD Kunming-Montreal Global Biodiversity Framework and Development of Response Strategies (II)</v>
      </c>
      <c r="D35" s="12" t="str">
        <f>VLOOKUP($A35,'DB1'!$C:$Q,13,0)</f>
        <v xml:space="preserve">Koo, Kyung Ah </v>
      </c>
      <c r="E35" s="16" t="str">
        <f>VLOOKUP($A35,'DB1'!$C:$Q,14,0)</f>
        <v>Ecology</v>
      </c>
      <c r="F35" s="16" t="str">
        <f>VLOOKUP($A35,'DB1'!$C:$Q,15,0)</f>
        <v>International &amp; Regional Collaboration</v>
      </c>
      <c r="G35" s="17">
        <f>VLOOKUP($A35,'DB1'!$C:$Q,9,0)</f>
        <v>45516</v>
      </c>
      <c r="H35" s="17">
        <f>VLOOKUP($A35,'DB1'!$C:$Q,10,0)</f>
        <v>45754</v>
      </c>
    </row>
    <row r="36" spans="1:8" ht="33">
      <c r="A36" t="str">
        <f>'DB1'!$C33</f>
        <v>2024-090</v>
      </c>
      <c r="B36" s="16" t="str" cm="1">
        <f t="array" ref="B36">_xlfn.IFS(LEFT($A36,2)='DB2'!$G$43,'DB2'!$F$43,LEFT($A36,2)='DB2'!$G$44,'DB2'!$F$44,LEFT($A36,2)='DB2'!$H$44,'DB2'!$F$44,LEFT($A36,2)='DB2'!$I$44,'DB2'!$F$44,LEFT($A36,2)='DB2'!$J$44,'DB2'!$F$44,LEFT($A36,2)='DB2'!$G$45,'DB2'!$F$45,LEFT($A36,2)='DB2'!$G$46,'DB2'!$F$46,LEFT($A36,2)=LEFT('DB2'!$G$47,2),'DB2'!$F$47)</f>
        <v xml:space="preserve">Commissioned Research </v>
      </c>
      <c r="C36" s="16" t="str">
        <f>VLOOKUP($A36,'DB1'!$C:$Q,12,0)</f>
        <v>Developing Strategies to Improve Emission Standard Management</v>
      </c>
      <c r="D36" s="12" t="str">
        <f>VLOOKUP($A36,'DB1'!$C:$Q,13,0)</f>
        <v>Gong, Sungyong</v>
      </c>
      <c r="E36" s="16" t="str">
        <f>VLOOKUP($A36,'DB1'!$C:$Q,14,0)</f>
        <v>Atmospheric Environment</v>
      </c>
      <c r="F36" s="16">
        <f>VLOOKUP($A36,'DB1'!$C:$Q,15,0)</f>
        <v>0</v>
      </c>
      <c r="G36" s="17">
        <f>VLOOKUP($A36,'DB1'!$C:$Q,9,0)</f>
        <v>45527</v>
      </c>
      <c r="H36" s="17">
        <f>VLOOKUP($A36,'DB1'!$C:$Q,10,0)</f>
        <v>45679</v>
      </c>
    </row>
    <row r="37" spans="1:8" ht="33">
      <c r="A37" t="str">
        <f>'DB1'!$C34</f>
        <v>2024-091</v>
      </c>
      <c r="B37" s="16" t="str" cm="1">
        <f t="array" ref="B37">_xlfn.IFS(LEFT($A37,2)='DB2'!$G$43,'DB2'!$F$43,LEFT($A37,2)='DB2'!$G$44,'DB2'!$F$44,LEFT($A37,2)='DB2'!$H$44,'DB2'!$F$44,LEFT($A37,2)='DB2'!$I$44,'DB2'!$F$44,LEFT($A37,2)='DB2'!$J$44,'DB2'!$F$44,LEFT($A37,2)='DB2'!$G$45,'DB2'!$F$45,LEFT($A37,2)='DB2'!$G$46,'DB2'!$F$46,LEFT($A37,2)=LEFT('DB2'!$G$47,2),'DB2'!$F$47)</f>
        <v xml:space="preserve">Commissioned Research </v>
      </c>
      <c r="C37" s="16" t="str">
        <f>VLOOKUP($A37,'DB1'!$C:$Q,12,0)</f>
        <v>Feasibility Review and Preparation of Draft Amendments for the Second Water Reuse Master Plan</v>
      </c>
      <c r="D37" s="12" t="str">
        <f>VLOOKUP($A37,'DB1'!$C:$Q,13,0)</f>
        <v>Lee, Moonhwan</v>
      </c>
      <c r="E37" s="16" t="str">
        <f>VLOOKUP($A37,'DB1'!$C:$Q,14,0)</f>
        <v>Water Management</v>
      </c>
      <c r="F37" s="16">
        <f>VLOOKUP($A37,'DB1'!$C:$Q,15,0)</f>
        <v>0</v>
      </c>
      <c r="G37" s="17">
        <f>VLOOKUP($A37,'DB1'!$C:$Q,9,0)</f>
        <v>45538</v>
      </c>
      <c r="H37" s="17">
        <f>VLOOKUP($A37,'DB1'!$C:$Q,10,0)</f>
        <v>45988</v>
      </c>
    </row>
    <row r="38" spans="1:8" ht="33">
      <c r="A38" t="str">
        <f>'DB1'!$C35</f>
        <v>2024-093</v>
      </c>
      <c r="B38" s="16" t="str" cm="1">
        <f t="array" ref="B38">_xlfn.IFS(LEFT($A38,2)='DB2'!$G$43,'DB2'!$F$43,LEFT($A38,2)='DB2'!$G$44,'DB2'!$F$44,LEFT($A38,2)='DB2'!$H$44,'DB2'!$F$44,LEFT($A38,2)='DB2'!$I$44,'DB2'!$F$44,LEFT($A38,2)='DB2'!$J$44,'DB2'!$F$44,LEFT($A38,2)='DB2'!$G$45,'DB2'!$F$45,LEFT($A38,2)='DB2'!$G$46,'DB2'!$F$46,LEFT($A38,2)=LEFT('DB2'!$G$47,2),'DB2'!$F$47)</f>
        <v xml:space="preserve">Commissioned Research </v>
      </c>
      <c r="C38" s="16" t="str">
        <f>VLOOKUP($A38,'DB1'!$C:$Q,12,0)</f>
        <v>Developing a Revision Plan for the 5th Comprehensive National Environmental Plan (2020–2040) (I)</v>
      </c>
      <c r="D38" s="12" t="str">
        <f>VLOOKUP($A38,'DB1'!$C:$Q,13,0)</f>
        <v>Park, Chang Sug</v>
      </c>
      <c r="E38" s="16" t="str">
        <f>VLOOKUP($A38,'DB1'!$C:$Q,14,0)</f>
        <v>Land Management and Environment</v>
      </c>
      <c r="F38" s="16">
        <f>VLOOKUP($A38,'DB1'!$C:$Q,15,0)</f>
        <v>0</v>
      </c>
      <c r="G38" s="17">
        <f>VLOOKUP($A38,'DB1'!$C:$Q,9,0)</f>
        <v>45555</v>
      </c>
      <c r="H38" s="17">
        <f>VLOOKUP($A38,'DB1'!$C:$Q,10,0)</f>
        <v>45734</v>
      </c>
    </row>
    <row r="39" spans="1:8" ht="33">
      <c r="A39" t="str">
        <f>'DB1'!$C36</f>
        <v>2024-094</v>
      </c>
      <c r="B39" s="16" t="str" cm="1">
        <f t="array" ref="B39">_xlfn.IFS(LEFT($A39,2)='DB2'!$G$43,'DB2'!$F$43,LEFT($A39,2)='DB2'!$G$44,'DB2'!$F$44,LEFT($A39,2)='DB2'!$H$44,'DB2'!$F$44,LEFT($A39,2)='DB2'!$I$44,'DB2'!$F$44,LEFT($A39,2)='DB2'!$J$44,'DB2'!$F$44,LEFT($A39,2)='DB2'!$G$45,'DB2'!$F$45,LEFT($A39,2)='DB2'!$G$46,'DB2'!$F$46,LEFT($A39,2)=LEFT('DB2'!$G$47,2),'DB2'!$F$47)</f>
        <v xml:space="preserve">Commissioned Research </v>
      </c>
      <c r="C39" s="16" t="str">
        <f>VLOOKUP($A39,'DB1'!$C:$Q,12,0)</f>
        <v>Implementing a Carbon Cap System in Development Projects for Carbon Neutrality</v>
      </c>
      <c r="D39" s="12" t="str">
        <f>VLOOKUP($A39,'DB1'!$C:$Q,13,0)</f>
        <v>공동과책 확인</v>
      </c>
      <c r="E39" s="16" t="str">
        <f>VLOOKUP($A39,'DB1'!$C:$Q,14,0)</f>
        <v>Climate Environment (GHG Reduction)</v>
      </c>
      <c r="F39" s="16" t="str">
        <f>VLOOKUP($A39,'DB1'!$C:$Q,15,0)</f>
        <v>Environmental Economics</v>
      </c>
      <c r="G39" s="17">
        <f>VLOOKUP($A39,'DB1'!$C:$Q,9,0)</f>
        <v>45558</v>
      </c>
      <c r="H39" s="17">
        <f>VLOOKUP($A39,'DB1'!$C:$Q,10,0)</f>
        <v>45891</v>
      </c>
    </row>
    <row r="40" spans="1:8" ht="33">
      <c r="A40" t="str">
        <f>'DB1'!$C37</f>
        <v>2024-096</v>
      </c>
      <c r="B40" s="16" t="str" cm="1">
        <f t="array" ref="B40">_xlfn.IFS(LEFT($A40,2)='DB2'!$G$43,'DB2'!$F$43,LEFT($A40,2)='DB2'!$G$44,'DB2'!$F$44,LEFT($A40,2)='DB2'!$H$44,'DB2'!$F$44,LEFT($A40,2)='DB2'!$I$44,'DB2'!$F$44,LEFT($A40,2)='DB2'!$J$44,'DB2'!$F$44,LEFT($A40,2)='DB2'!$G$45,'DB2'!$F$45,LEFT($A40,2)='DB2'!$G$46,'DB2'!$F$46,LEFT($A40,2)=LEFT('DB2'!$G$47,2),'DB2'!$F$47)</f>
        <v xml:space="preserve">Commissioned Research </v>
      </c>
      <c r="C40" s="16" t="str">
        <f>VLOOKUP($A40,'DB1'!$C:$Q,12,0)</f>
        <v>Feasibility Review and Preparation of Draft Amendments for the First Master Plan for National Water Management (I)</v>
      </c>
      <c r="D40" s="12" t="str">
        <f>VLOOKUP($A40,'DB1'!$C:$Q,13,0)</f>
        <v>Han, Haejin</v>
      </c>
      <c r="E40" s="16" t="str">
        <f>VLOOKUP($A40,'DB1'!$C:$Q,14,0)</f>
        <v>Water Management</v>
      </c>
      <c r="F40" s="16">
        <f>VLOOKUP($A40,'DB1'!$C:$Q,15,0)</f>
        <v>0</v>
      </c>
      <c r="G40" s="17">
        <f>VLOOKUP($A40,'DB1'!$C:$Q,9,0)</f>
        <v>45583</v>
      </c>
      <c r="H40" s="17">
        <f>VLOOKUP($A40,'DB1'!$C:$Q,10,0)</f>
        <v>45947</v>
      </c>
    </row>
    <row r="41" spans="1:8" ht="33">
      <c r="A41" t="str">
        <f>'DB1'!$C38</f>
        <v>2024-097</v>
      </c>
      <c r="B41" s="16" t="str" cm="1">
        <f t="array" ref="B41">_xlfn.IFS(LEFT($A41,2)='DB2'!$G$43,'DB2'!$F$43,LEFT($A41,2)='DB2'!$G$44,'DB2'!$F$44,LEFT($A41,2)='DB2'!$H$44,'DB2'!$F$44,LEFT($A41,2)='DB2'!$I$44,'DB2'!$F$44,LEFT($A41,2)='DB2'!$J$44,'DB2'!$F$44,LEFT($A41,2)='DB2'!$G$45,'DB2'!$F$45,LEFT($A41,2)='DB2'!$G$46,'DB2'!$F$46,LEFT($A41,2)=LEFT('DB2'!$G$47,2),'DB2'!$F$47)</f>
        <v xml:space="preserve">Commissioned Research </v>
      </c>
      <c r="C41" s="16" t="str">
        <f>VLOOKUP($A41,'DB1'!$C:$Q,12,0)</f>
        <v>Developing the Third Master Plan for National Water Environment Management</v>
      </c>
      <c r="D41" s="12" t="str">
        <f>VLOOKUP($A41,'DB1'!$C:$Q,13,0)</f>
        <v>Kim, Hojeong</v>
      </c>
      <c r="E41" s="16" t="str">
        <f>VLOOKUP($A41,'DB1'!$C:$Q,14,0)</f>
        <v>Water Management</v>
      </c>
      <c r="F41" s="16">
        <f>VLOOKUP($A41,'DB1'!$C:$Q,15,0)</f>
        <v>0</v>
      </c>
      <c r="G41" s="17">
        <f>VLOOKUP($A41,'DB1'!$C:$Q,9,0)</f>
        <v>45587</v>
      </c>
      <c r="H41" s="17">
        <f>VLOOKUP($A41,'DB1'!$C:$Q,10,0)</f>
        <v>46008</v>
      </c>
    </row>
    <row r="42" spans="1:8" ht="33">
      <c r="A42" t="str">
        <f>'DB1'!$C39</f>
        <v>2024-098</v>
      </c>
      <c r="B42" s="16" t="str" cm="1">
        <f t="array" ref="B42">_xlfn.IFS(LEFT($A42,2)='DB2'!$G$43,'DB2'!$F$43,LEFT($A42,2)='DB2'!$G$44,'DB2'!$F$44,LEFT($A42,2)='DB2'!$H$44,'DB2'!$F$44,LEFT($A42,2)='DB2'!$I$44,'DB2'!$F$44,LEFT($A42,2)='DB2'!$J$44,'DB2'!$F$44,LEFT($A42,2)='DB2'!$G$45,'DB2'!$F$45,LEFT($A42,2)='DB2'!$G$46,'DB2'!$F$46,LEFT($A42,2)=LEFT('DB2'!$G$47,2),'DB2'!$F$47)</f>
        <v xml:space="preserve">Commissioned Research </v>
      </c>
      <c r="C42" s="16" t="str">
        <f>VLOOKUP($A42,'DB1'!$C:$Q,12,0)</f>
        <v xml:space="preserve"> Developing a Strategic Roadmap for the Advancement of Indoor Environment Management Center</v>
      </c>
      <c r="D42" s="12" t="str">
        <f>VLOOKUP($A42,'DB1'!$C:$Q,13,0)</f>
        <v xml:space="preserve">Jung, Dawoon </v>
      </c>
      <c r="E42" s="16" t="str">
        <f>VLOOKUP($A42,'DB1'!$C:$Q,14,0)</f>
        <v>Environmental Health</v>
      </c>
      <c r="F42" s="16">
        <f>VLOOKUP($A42,'DB1'!$C:$Q,15,0)</f>
        <v>0</v>
      </c>
      <c r="G42" s="17">
        <f>VLOOKUP($A42,'DB1'!$C:$Q,9,0)</f>
        <v>45590</v>
      </c>
      <c r="H42" s="17">
        <f>VLOOKUP($A42,'DB1'!$C:$Q,10,0)</f>
        <v>45739</v>
      </c>
    </row>
    <row r="43" spans="1:8" ht="33">
      <c r="A43" t="str">
        <f>'DB1'!$C40</f>
        <v>2024-099(R)</v>
      </c>
      <c r="B43" s="16" t="str" cm="1">
        <f t="array" ref="B43">_xlfn.IFS(LEFT($A43,2)='DB2'!$G$43,'DB2'!$F$43,LEFT($A43,2)='DB2'!$G$44,'DB2'!$F$44,LEFT($A43,2)='DB2'!$H$44,'DB2'!$F$44,LEFT($A43,2)='DB2'!$I$44,'DB2'!$F$44,LEFT($A43,2)='DB2'!$J$44,'DB2'!$F$44,LEFT($A43,2)='DB2'!$G$45,'DB2'!$F$45,LEFT($A43,2)='DB2'!$G$46,'DB2'!$F$46,LEFT($A43,2)=LEFT('DB2'!$G$47,2),'DB2'!$F$47)</f>
        <v xml:space="preserve">Commissioned Research </v>
      </c>
      <c r="C43" s="16" t="str">
        <f>VLOOKUP($A43,'DB1'!$C:$Q,12,0)</f>
        <v>Research on Convergent Approaches to Mitigate Secondary Microplastic Pollution (Year 5)</v>
      </c>
      <c r="D43" s="12" t="str">
        <f>VLOOKUP($A43,'DB1'!$C:$Q,13,0)</f>
        <v>Park, Jeonggue</v>
      </c>
      <c r="E43" s="16" t="str">
        <f>VLOOKUP($A43,'DB1'!$C:$Q,14,0)</f>
        <v>Environmental Health</v>
      </c>
      <c r="F43" s="16" t="str">
        <f>VLOOKUP($A43,'DB1'!$C:$Q,15,0)</f>
        <v>Marine Environment</v>
      </c>
      <c r="G43" s="17">
        <f>VLOOKUP($A43,'DB1'!$C:$Q,9,0)</f>
        <v>45514</v>
      </c>
      <c r="H43" s="17">
        <f>VLOOKUP($A43,'DB1'!$C:$Q,10,0)</f>
        <v>45878</v>
      </c>
    </row>
    <row r="44" spans="1:8" ht="33">
      <c r="A44" t="str">
        <f>'DB1'!$C41</f>
        <v>2024-100</v>
      </c>
      <c r="B44" s="16" t="str" cm="1">
        <f t="array" ref="B44">_xlfn.IFS(LEFT($A44,2)='DB2'!$G$43,'DB2'!$F$43,LEFT($A44,2)='DB2'!$G$44,'DB2'!$F$44,LEFT($A44,2)='DB2'!$H$44,'DB2'!$F$44,LEFT($A44,2)='DB2'!$I$44,'DB2'!$F$44,LEFT($A44,2)='DB2'!$J$44,'DB2'!$F$44,LEFT($A44,2)='DB2'!$G$45,'DB2'!$F$45,LEFT($A44,2)='DB2'!$G$46,'DB2'!$F$46,LEFT($A44,2)=LEFT('DB2'!$G$47,2),'DB2'!$F$47)</f>
        <v xml:space="preserve">Commissioned Research </v>
      </c>
      <c r="C44" s="16" t="str">
        <f>VLOOKUP($A44,'DB1'!$C:$Q,12,0)</f>
        <v>Developing Strategies to Implement Zoning for Enhancing Ecosystem Services</v>
      </c>
      <c r="D44" s="12" t="str">
        <f>VLOOKUP($A44,'DB1'!$C:$Q,13,0)</f>
        <v>Choi, Hee-Sun</v>
      </c>
      <c r="E44" s="16" t="str">
        <f>VLOOKUP($A44,'DB1'!$C:$Q,14,0)</f>
        <v>Land Management and Environment</v>
      </c>
      <c r="F44" s="16" t="str">
        <f>VLOOKUP($A44,'DB1'!$C:$Q,15,0)</f>
        <v>Ecology</v>
      </c>
      <c r="G44" s="17">
        <f>VLOOKUP($A44,'DB1'!$C:$Q,9,0)</f>
        <v>45601</v>
      </c>
      <c r="H44" s="17">
        <f>VLOOKUP($A44,'DB1'!$C:$Q,10,0)</f>
        <v>45898</v>
      </c>
    </row>
    <row r="45" spans="1:8" ht="33">
      <c r="A45" t="str">
        <f>'DB1'!$C42</f>
        <v>2024-101</v>
      </c>
      <c r="B45" s="16" t="str" cm="1">
        <f t="array" ref="B45">_xlfn.IFS(LEFT($A45,2)='DB2'!$G$43,'DB2'!$F$43,LEFT($A45,2)='DB2'!$G$44,'DB2'!$F$44,LEFT($A45,2)='DB2'!$H$44,'DB2'!$F$44,LEFT($A45,2)='DB2'!$I$44,'DB2'!$F$44,LEFT($A45,2)='DB2'!$J$44,'DB2'!$F$44,LEFT($A45,2)='DB2'!$G$45,'DB2'!$F$45,LEFT($A45,2)='DB2'!$G$46,'DB2'!$F$46,LEFT($A45,2)=LEFT('DB2'!$G$47,2),'DB2'!$F$47)</f>
        <v xml:space="preserve">Commissioned Research </v>
      </c>
      <c r="C45" s="16" t="str">
        <f>VLOOKUP($A45,'DB1'!$C:$Q,12,0)</f>
        <v>Comprehensive Environmental Health Assessment of Regions Around Coal-Fired Power Plants</v>
      </c>
      <c r="D45" s="12" t="str">
        <f>VLOOKUP($A45,'DB1'!$C:$Q,13,0)</f>
        <v>Bae, Hyun-Joo</v>
      </c>
      <c r="E45" s="16" t="str">
        <f>VLOOKUP($A45,'DB1'!$C:$Q,14,0)</f>
        <v>Environmental Health</v>
      </c>
      <c r="F45" s="16" t="str">
        <f>VLOOKUP($A45,'DB1'!$C:$Q,15,0)</f>
        <v>Atmospheric Environment</v>
      </c>
      <c r="G45" s="17">
        <f>VLOOKUP($A45,'DB1'!$C:$Q,9,0)</f>
        <v>45600</v>
      </c>
      <c r="H45" s="17">
        <f>VLOOKUP($A45,'DB1'!$C:$Q,10,0)</f>
        <v>45965</v>
      </c>
    </row>
    <row r="46" spans="1:8" ht="33">
      <c r="A46" t="str">
        <f>'DB1'!$C43</f>
        <v>2024-102</v>
      </c>
      <c r="B46" s="16" t="str" cm="1">
        <f t="array" ref="B46">_xlfn.IFS(LEFT($A46,2)='DB2'!$G$43,'DB2'!$F$43,LEFT($A46,2)='DB2'!$G$44,'DB2'!$F$44,LEFT($A46,2)='DB2'!$H$44,'DB2'!$F$44,LEFT($A46,2)='DB2'!$I$44,'DB2'!$F$44,LEFT($A46,2)='DB2'!$J$44,'DB2'!$F$44,LEFT($A46,2)='DB2'!$G$45,'DB2'!$F$45,LEFT($A46,2)='DB2'!$G$46,'DB2'!$F$46,LEFT($A46,2)=LEFT('DB2'!$G$47,2),'DB2'!$F$47)</f>
        <v xml:space="preserve">Commissioned Research </v>
      </c>
      <c r="C46" s="16" t="str">
        <f>VLOOKUP($A46,'DB1'!$C:$Q,12,0)</f>
        <v>Developing a Tiered Environmental Impact Assessment System (Phase 1)</v>
      </c>
      <c r="D46" s="12" t="str">
        <f>VLOOKUP($A46,'DB1'!$C:$Q,13,0)</f>
        <v xml:space="preserve">Yang, Kyung </v>
      </c>
      <c r="E46" s="16" t="str">
        <f>VLOOKUP($A46,'DB1'!$C:$Q,14,0)</f>
        <v>Environmental Assessment</v>
      </c>
      <c r="F46" s="16">
        <f>VLOOKUP($A46,'DB1'!$C:$Q,15,0)</f>
        <v>0</v>
      </c>
      <c r="G46" s="17">
        <f>VLOOKUP($A46,'DB1'!$C:$Q,9,0)</f>
        <v>45609</v>
      </c>
      <c r="H46" s="17">
        <f>VLOOKUP($A46,'DB1'!$C:$Q,10,0)</f>
        <v>45698</v>
      </c>
    </row>
    <row r="47" spans="1:8" ht="33">
      <c r="A47" t="str">
        <f>'DB1'!$C44</f>
        <v>2024-103</v>
      </c>
      <c r="B47" s="16" t="str" cm="1">
        <f t="array" ref="B47">_xlfn.IFS(LEFT($A47,2)='DB2'!$G$43,'DB2'!$F$43,LEFT($A47,2)='DB2'!$G$44,'DB2'!$F$44,LEFT($A47,2)='DB2'!$H$44,'DB2'!$F$44,LEFT($A47,2)='DB2'!$I$44,'DB2'!$F$44,LEFT($A47,2)='DB2'!$J$44,'DB2'!$F$44,LEFT($A47,2)='DB2'!$G$45,'DB2'!$F$45,LEFT($A47,2)='DB2'!$G$46,'DB2'!$F$46,LEFT($A47,2)=LEFT('DB2'!$G$47,2),'DB2'!$F$47)</f>
        <v xml:space="preserve">Commissioned Research </v>
      </c>
      <c r="C47" s="16" t="str">
        <f>VLOOKUP($A47,'DB1'!$C:$Q,12,0)</f>
        <v>Impact Analysis of Handling Facility Standards and Quantity Limits for Reforming the Hazardous Substance Designation and Management System</v>
      </c>
      <c r="D47" s="12" t="str">
        <f>VLOOKUP($A47,'DB1'!$C:$Q,13,0)</f>
        <v>Shin, Sang-Cheol</v>
      </c>
      <c r="E47" s="16" t="str">
        <f>VLOOKUP($A47,'DB1'!$C:$Q,14,0)</f>
        <v>Environmental Health</v>
      </c>
      <c r="F47" s="16">
        <f>VLOOKUP($A47,'DB1'!$C:$Q,15,0)</f>
        <v>0</v>
      </c>
      <c r="G47" s="17">
        <f>VLOOKUP($A47,'DB1'!$C:$Q,9,0)</f>
        <v>45618</v>
      </c>
      <c r="H47" s="17">
        <f>VLOOKUP($A47,'DB1'!$C:$Q,10,0)</f>
        <v>45961</v>
      </c>
    </row>
    <row r="48" spans="1:8" ht="49.5">
      <c r="A48" t="str">
        <f>'DB1'!$C45</f>
        <v>2024-104</v>
      </c>
      <c r="B48" s="16" t="str" cm="1">
        <f t="array" ref="B48">_xlfn.IFS(LEFT($A48,2)='DB2'!$G$43,'DB2'!$F$43,LEFT($A48,2)='DB2'!$G$44,'DB2'!$F$44,LEFT($A48,2)='DB2'!$H$44,'DB2'!$F$44,LEFT($A48,2)='DB2'!$I$44,'DB2'!$F$44,LEFT($A48,2)='DB2'!$J$44,'DB2'!$F$44,LEFT($A48,2)='DB2'!$G$45,'DB2'!$F$45,LEFT($A48,2)='DB2'!$G$46,'DB2'!$F$46,LEFT($A48,2)=LEFT('DB2'!$G$47,2),'DB2'!$F$47)</f>
        <v xml:space="preserve">Commissioned Research </v>
      </c>
      <c r="C48" s="16" t="str">
        <f>VLOOKUP($A48,'DB1'!$C:$Q,12,0)</f>
        <v>Analysis of National Strategies and Plans for Addressing Plastic Pollution in the Asia-Pacific Region</v>
      </c>
      <c r="D48" s="12" t="str">
        <f>VLOOKUP($A48,'DB1'!$C:$Q,13,0)</f>
        <v xml:space="preserve">Yi, Sora </v>
      </c>
      <c r="E48" s="16" t="str">
        <f>VLOOKUP($A48,'DB1'!$C:$Q,14,0)</f>
        <v>Circular Economy</v>
      </c>
      <c r="F48" s="16" t="str">
        <f>VLOOKUP($A48,'DB1'!$C:$Q,15,0)</f>
        <v>International &amp; Regional Collaboration</v>
      </c>
      <c r="G48" s="17">
        <f>VLOOKUP($A48,'DB1'!$C:$Q,9,0)</f>
        <v>45625</v>
      </c>
      <c r="H48" s="17">
        <f>VLOOKUP($A48,'DB1'!$C:$Q,10,0)</f>
        <v>45930</v>
      </c>
    </row>
    <row r="49" spans="1:8" ht="33">
      <c r="A49" t="str">
        <f>'DB1'!$C46</f>
        <v>2024-105</v>
      </c>
      <c r="B49" s="16" t="str" cm="1">
        <f t="array" ref="B49">_xlfn.IFS(LEFT($A49,2)='DB2'!$G$43,'DB2'!$F$43,LEFT($A49,2)='DB2'!$G$44,'DB2'!$F$44,LEFT($A49,2)='DB2'!$H$44,'DB2'!$F$44,LEFT($A49,2)='DB2'!$I$44,'DB2'!$F$44,LEFT($A49,2)='DB2'!$J$44,'DB2'!$F$44,LEFT($A49,2)='DB2'!$G$45,'DB2'!$F$45,LEFT($A49,2)='DB2'!$G$46,'DB2'!$F$46,LEFT($A49,2)=LEFT('DB2'!$G$47,2),'DB2'!$F$47)</f>
        <v xml:space="preserve">Commissioned Research </v>
      </c>
      <c r="C49" s="16" t="str">
        <f>VLOOKUP($A49,'DB1'!$C:$Q,12,0)</f>
        <v>Developing National Long-Term Greenhouse Gas Reduction Pathways</v>
      </c>
      <c r="D49" s="12" t="str">
        <f>VLOOKUP($A49,'DB1'!$C:$Q,13,0)</f>
        <v>Kim, Sungjin</v>
      </c>
      <c r="E49" s="16" t="str">
        <f>VLOOKUP($A49,'DB1'!$C:$Q,14,0)</f>
        <v>Climate Environment (GHG Reduction)</v>
      </c>
      <c r="F49" s="16">
        <f>VLOOKUP($A49,'DB1'!$C:$Q,15,0)</f>
        <v>0</v>
      </c>
      <c r="G49" s="17">
        <f>VLOOKUP($A49,'DB1'!$C:$Q,9,0)</f>
        <v>45625</v>
      </c>
      <c r="H49" s="17">
        <f>VLOOKUP($A49,'DB1'!$C:$Q,10,0)</f>
        <v>45684</v>
      </c>
    </row>
    <row r="50" spans="1:8" ht="33">
      <c r="A50" t="str">
        <f>'DB1'!$C47</f>
        <v>2024-106</v>
      </c>
      <c r="B50" s="16" t="str" cm="1">
        <f t="array" ref="B50">_xlfn.IFS(LEFT($A50,2)='DB2'!$G$43,'DB2'!$F$43,LEFT($A50,2)='DB2'!$G$44,'DB2'!$F$44,LEFT($A50,2)='DB2'!$H$44,'DB2'!$F$44,LEFT($A50,2)='DB2'!$I$44,'DB2'!$F$44,LEFT($A50,2)='DB2'!$J$44,'DB2'!$F$44,LEFT($A50,2)='DB2'!$G$45,'DB2'!$F$45,LEFT($A50,2)='DB2'!$G$46,'DB2'!$F$46,LEFT($A50,2)=LEFT('DB2'!$G$47,2),'DB2'!$F$47)</f>
        <v xml:space="preserve">Commissioned Research </v>
      </c>
      <c r="C50" s="16" t="str">
        <f>VLOOKUP($A50,'DB1'!$C:$Q,12,0)</f>
        <v>Study on Expanding the Scope of Industries Subject to Integrated Environmental Management</v>
      </c>
      <c r="D50" s="12" t="str">
        <f>VLOOKUP($A50,'DB1'!$C:$Q,13,0)</f>
        <v>Han, Daeho</v>
      </c>
      <c r="E50" s="16" t="str">
        <f>VLOOKUP($A50,'DB1'!$C:$Q,14,0)</f>
        <v>Socio-Environmental Interface</v>
      </c>
      <c r="F50" s="16" t="str">
        <f>VLOOKUP($A50,'DB1'!$C:$Q,15,0)</f>
        <v>Land management and environment</v>
      </c>
      <c r="G50" s="17">
        <f>VLOOKUP($A50,'DB1'!$C:$Q,9,0)</f>
        <v>45630</v>
      </c>
      <c r="H50" s="17">
        <f>VLOOKUP($A50,'DB1'!$C:$Q,10,0)</f>
        <v>45869</v>
      </c>
    </row>
    <row r="51" spans="1:8" ht="33">
      <c r="A51" t="str">
        <f>'DB1'!$C48</f>
        <v>2024-107</v>
      </c>
      <c r="B51" s="16" t="str" cm="1">
        <f t="array" ref="B51">_xlfn.IFS(LEFT($A51,2)='DB2'!$G$43,'DB2'!$F$43,LEFT($A51,2)='DB2'!$G$44,'DB2'!$F$44,LEFT($A51,2)='DB2'!$H$44,'DB2'!$F$44,LEFT($A51,2)='DB2'!$I$44,'DB2'!$F$44,LEFT($A51,2)='DB2'!$J$44,'DB2'!$F$44,LEFT($A51,2)='DB2'!$G$45,'DB2'!$F$45,LEFT($A51,2)='DB2'!$G$46,'DB2'!$F$46,LEFT($A51,2)=LEFT('DB2'!$G$47,2),'DB2'!$F$47)</f>
        <v xml:space="preserve">Commissioned Research </v>
      </c>
      <c r="C51" s="16" t="str">
        <f>VLOOKUP($A51,'DB1'!$C:$Q,12,0)</f>
        <v>Study on the Application of Environmental Management Technologies for Advanced Water Source Management</v>
      </c>
      <c r="D51" s="12" t="str">
        <f>VLOOKUP($A51,'DB1'!$C:$Q,13,0)</f>
        <v>Jeon, Dongjin</v>
      </c>
      <c r="E51" s="16" t="str">
        <f>VLOOKUP($A51,'DB1'!$C:$Q,14,0)</f>
        <v>Water Management</v>
      </c>
      <c r="F51" s="16" t="str">
        <f>VLOOKUP($A51,'DB1'!$C:$Q,15,0)</f>
        <v>Environmental Informatics</v>
      </c>
      <c r="G51" s="17">
        <f>VLOOKUP($A51,'DB1'!$C:$Q,9,0)</f>
        <v>45632</v>
      </c>
      <c r="H51" s="17">
        <f>VLOOKUP($A51,'DB1'!$C:$Q,10,0)</f>
        <v>45751</v>
      </c>
    </row>
    <row r="52" spans="1:8" ht="33">
      <c r="A52" t="str">
        <f>'DB1'!$C49</f>
        <v>2024-108</v>
      </c>
      <c r="B52" s="16" t="str" cm="1">
        <f t="array" ref="B52">_xlfn.IFS(LEFT($A52,2)='DB2'!$G$43,'DB2'!$F$43,LEFT($A52,2)='DB2'!$G$44,'DB2'!$F$44,LEFT($A52,2)='DB2'!$H$44,'DB2'!$F$44,LEFT($A52,2)='DB2'!$I$44,'DB2'!$F$44,LEFT($A52,2)='DB2'!$J$44,'DB2'!$F$44,LEFT($A52,2)='DB2'!$G$45,'DB2'!$F$45,LEFT($A52,2)='DB2'!$G$46,'DB2'!$F$46,LEFT($A52,2)=LEFT('DB2'!$G$47,2),'DB2'!$F$47)</f>
        <v xml:space="preserve">Commissioned Research </v>
      </c>
      <c r="C52" s="16" t="str">
        <f>VLOOKUP($A52,'DB1'!$C:$Q,12,0)</f>
        <v>Study on Reforming the Water Supply and Waterworks Installation Act to Refine the Water Supply System</v>
      </c>
      <c r="D52" s="12" t="str">
        <f>VLOOKUP($A52,'DB1'!$C:$Q,13,0)</f>
        <v>Ryu, Jaena</v>
      </c>
      <c r="E52" s="16" t="str">
        <f>VLOOKUP($A52,'DB1'!$C:$Q,14,0)</f>
        <v>Water Management</v>
      </c>
      <c r="F52" s="16">
        <f>VLOOKUP($A52,'DB1'!$C:$Q,15,0)</f>
        <v>0</v>
      </c>
      <c r="G52" s="17">
        <f>VLOOKUP($A52,'DB1'!$C:$Q,9,0)</f>
        <v>45635</v>
      </c>
      <c r="H52" s="17">
        <f>VLOOKUP($A52,'DB1'!$C:$Q,10,0)</f>
        <v>45904</v>
      </c>
    </row>
    <row r="53" spans="1:8" ht="33">
      <c r="A53" t="str">
        <f>'DB1'!$C50</f>
        <v>2024-109</v>
      </c>
      <c r="B53" s="16" t="str" cm="1">
        <f t="array" ref="B53">_xlfn.IFS(LEFT($A53,2)='DB2'!$G$43,'DB2'!$F$43,LEFT($A53,2)='DB2'!$G$44,'DB2'!$F$44,LEFT($A53,2)='DB2'!$H$44,'DB2'!$F$44,LEFT($A53,2)='DB2'!$I$44,'DB2'!$F$44,LEFT($A53,2)='DB2'!$J$44,'DB2'!$F$44,LEFT($A53,2)='DB2'!$G$45,'DB2'!$F$45,LEFT($A53,2)='DB2'!$G$46,'DB2'!$F$46,LEFT($A53,2)=LEFT('DB2'!$G$47,2),'DB2'!$F$47)</f>
        <v xml:space="preserve">Commissioned Research </v>
      </c>
      <c r="C53" s="16" t="str">
        <f>VLOOKUP($A53,'DB1'!$C:$Q,12,0)</f>
        <v>Developing Strategies to Improve the Certification System for Water Supply Materials and Products</v>
      </c>
      <c r="D53" s="12" t="str">
        <f>VLOOKUP($A53,'DB1'!$C:$Q,13,0)</f>
        <v>Ryu, Jaena</v>
      </c>
      <c r="E53" s="16" t="str">
        <f>VLOOKUP($A53,'DB1'!$C:$Q,14,0)</f>
        <v>Water Management</v>
      </c>
      <c r="F53" s="16">
        <f>VLOOKUP($A53,'DB1'!$C:$Q,15,0)</f>
        <v>0</v>
      </c>
      <c r="G53" s="17">
        <f>VLOOKUP($A53,'DB1'!$C:$Q,9,0)</f>
        <v>45636</v>
      </c>
      <c r="H53" s="17">
        <f>VLOOKUP($A53,'DB1'!$C:$Q,10,0)</f>
        <v>45995</v>
      </c>
    </row>
    <row r="54" spans="1:8" ht="33">
      <c r="A54" t="str">
        <f>'DB1'!$C51</f>
        <v>2024-110</v>
      </c>
      <c r="B54" s="16" t="str" cm="1">
        <f t="array" ref="B54">_xlfn.IFS(LEFT($A54,2)='DB2'!$G$43,'DB2'!$F$43,LEFT($A54,2)='DB2'!$G$44,'DB2'!$F$44,LEFT($A54,2)='DB2'!$H$44,'DB2'!$F$44,LEFT($A54,2)='DB2'!$I$44,'DB2'!$F$44,LEFT($A54,2)='DB2'!$J$44,'DB2'!$F$44,LEFT($A54,2)='DB2'!$G$45,'DB2'!$F$45,LEFT($A54,2)='DB2'!$G$46,'DB2'!$F$46,LEFT($A54,2)=LEFT('DB2'!$G$47,2),'DB2'!$F$47)</f>
        <v xml:space="preserve">Commissioned Research </v>
      </c>
      <c r="C54" s="16" t="str">
        <f>VLOOKUP($A54,'DB1'!$C:$Q,12,0)</f>
        <v>Establishment of the National Basic Strategy for Sustainable Development (2026-2045)</v>
      </c>
      <c r="D54" s="12" t="str">
        <f>VLOOKUP($A54,'DB1'!$C:$Q,13,0)</f>
        <v>Chung, Woo Hyun</v>
      </c>
      <c r="E54" s="16" t="str">
        <f>VLOOKUP($A54,'DB1'!$C:$Q,14,0)</f>
        <v>Socio-Environmental Interface</v>
      </c>
      <c r="F54" s="16">
        <f>VLOOKUP($A54,'DB1'!$C:$Q,15,0)</f>
        <v>0</v>
      </c>
      <c r="G54" s="17">
        <f>VLOOKUP($A54,'DB1'!$C:$Q,9,0)</f>
        <v>45644</v>
      </c>
      <c r="H54" s="17">
        <f>VLOOKUP($A54,'DB1'!$C:$Q,10,0)</f>
        <v>45961</v>
      </c>
    </row>
    <row r="55" spans="1:8" ht="33">
      <c r="A55" t="str">
        <f>'DB1'!$C52</f>
        <v>2025-001-01</v>
      </c>
      <c r="B55" s="16" t="str" cm="1">
        <f t="array" ref="B55">_xlfn.IFS(LEFT($A55,2)='DB2'!$G$43,'DB2'!$F$43,LEFT($A55,2)='DB2'!$G$44,'DB2'!$F$44,LEFT($A55,2)='DB2'!$H$44,'DB2'!$F$44,LEFT($A55,2)='DB2'!$I$44,'DB2'!$F$44,LEFT($A55,2)='DB2'!$J$44,'DB2'!$F$44,LEFT($A55,2)='DB2'!$G$45,'DB2'!$F$45,LEFT($A55,2)='DB2'!$G$46,'DB2'!$F$46,LEFT($A55,2)=LEFT('DB2'!$G$47,2),'DB2'!$F$47)</f>
        <v xml:space="preserve">Commissioned Research </v>
      </c>
      <c r="C55" s="16" t="str">
        <f>VLOOKUP($A55,'DB1'!$C:$Q,12,0)</f>
        <v>Formulating and Mainstreaming National Climate Crisis Adaptation Measures</v>
      </c>
      <c r="D55" s="12" t="str">
        <f>VLOOKUP($A55,'DB1'!$C:$Q,13,0)</f>
        <v>Shin, Jiyoung</v>
      </c>
      <c r="E55" s="16" t="str">
        <f>VLOOKUP($A55,'DB1'!$C:$Q,14,0)</f>
        <v>Climate Adaptation</v>
      </c>
      <c r="F55" s="16">
        <f>VLOOKUP($A55,'DB1'!$C:$Q,15,0)</f>
        <v>0</v>
      </c>
      <c r="G55" s="17">
        <f>VLOOKUP($A55,'DB1'!$C:$Q,9,0)</f>
        <v>45658</v>
      </c>
      <c r="H55" s="17">
        <f>VLOOKUP($A55,'DB1'!$C:$Q,10,0)</f>
        <v>46022</v>
      </c>
    </row>
    <row r="56" spans="1:8" ht="33">
      <c r="A56" t="str">
        <f>'DB1'!$C53</f>
        <v>2025-001-02</v>
      </c>
      <c r="B56" s="16" t="str" cm="1">
        <f t="array" ref="B56">_xlfn.IFS(LEFT($A56,2)='DB2'!$G$43,'DB2'!$F$43,LEFT($A56,2)='DB2'!$G$44,'DB2'!$F$44,LEFT($A56,2)='DB2'!$H$44,'DB2'!$F$44,LEFT($A56,2)='DB2'!$I$44,'DB2'!$F$44,LEFT($A56,2)='DB2'!$J$44,'DB2'!$F$44,LEFT($A56,2)='DB2'!$G$45,'DB2'!$F$45,LEFT($A56,2)='DB2'!$G$46,'DB2'!$F$46,LEFT($A56,2)=LEFT('DB2'!$G$47,2),'DB2'!$F$47)</f>
        <v xml:space="preserve">Commissioned Research </v>
      </c>
      <c r="C56" s="16" t="str">
        <f>VLOOKUP($A56,'DB1'!$C:$Q,12,0)</f>
        <v>Enhancing Climate Adaptation and Reducing Vulnerability in Local Governments</v>
      </c>
      <c r="D56" s="12" t="str">
        <f>VLOOKUP($A56,'DB1'!$C:$Q,13,0)</f>
        <v>Park, Jin-han</v>
      </c>
      <c r="E56" s="16" t="str">
        <f>VLOOKUP($A56,'DB1'!$C:$Q,14,0)</f>
        <v>Climate Adaptation</v>
      </c>
      <c r="F56" s="16" t="str">
        <f>VLOOKUP($A56,'DB1'!$C:$Q,15,0)</f>
        <v>Socio-Environmental Interface</v>
      </c>
      <c r="G56" s="17">
        <f>VLOOKUP($A56,'DB1'!$C:$Q,9,0)</f>
        <v>45658</v>
      </c>
      <c r="H56" s="17">
        <f>VLOOKUP($A56,'DB1'!$C:$Q,10,0)</f>
        <v>46022</v>
      </c>
    </row>
    <row r="57" spans="1:8" ht="33">
      <c r="A57" t="str">
        <f>'DB1'!$C54</f>
        <v>2025-001-03</v>
      </c>
      <c r="B57" s="16" t="str" cm="1">
        <f t="array" ref="B57">_xlfn.IFS(LEFT($A57,2)='DB2'!$G$43,'DB2'!$F$43,LEFT($A57,2)='DB2'!$G$44,'DB2'!$F$44,LEFT($A57,2)='DB2'!$H$44,'DB2'!$F$44,LEFT($A57,2)='DB2'!$I$44,'DB2'!$F$44,LEFT($A57,2)='DB2'!$J$44,'DB2'!$F$44,LEFT($A57,2)='DB2'!$G$45,'DB2'!$F$45,LEFT($A57,2)='DB2'!$G$46,'DB2'!$F$46,LEFT($A57,2)=LEFT('DB2'!$G$47,2),'DB2'!$F$47)</f>
        <v xml:space="preserve">Commissioned Research </v>
      </c>
      <c r="C57" s="16" t="str">
        <f>VLOOKUP($A57,'DB1'!$C:$Q,12,0)</f>
        <v>Capacity Building for Different Adaptation Stakeholders</v>
      </c>
      <c r="D57" s="12" t="str">
        <f>VLOOKUP($A57,'DB1'!$C:$Q,13,0)</f>
        <v>Cho, Hanna</v>
      </c>
      <c r="E57" s="16" t="str">
        <f>VLOOKUP($A57,'DB1'!$C:$Q,14,0)</f>
        <v>Climate Adaptation</v>
      </c>
      <c r="F57" s="16">
        <f>VLOOKUP($A57,'DB1'!$C:$Q,15,0)</f>
        <v>0</v>
      </c>
      <c r="G57" s="17">
        <f>VLOOKUP($A57,'DB1'!$C:$Q,9,0)</f>
        <v>45658</v>
      </c>
      <c r="H57" s="17">
        <f>VLOOKUP($A57,'DB1'!$C:$Q,10,0)</f>
        <v>46022</v>
      </c>
    </row>
    <row r="58" spans="1:8" ht="49.5">
      <c r="A58" t="str">
        <f>'DB1'!$C55</f>
        <v>2025-001-04</v>
      </c>
      <c r="B58" s="16" t="str" cm="1">
        <f t="array" ref="B58">_xlfn.IFS(LEFT($A58,2)='DB2'!$G$43,'DB2'!$F$43,LEFT($A58,2)='DB2'!$G$44,'DB2'!$F$44,LEFT($A58,2)='DB2'!$H$44,'DB2'!$F$44,LEFT($A58,2)='DB2'!$I$44,'DB2'!$F$44,LEFT($A58,2)='DB2'!$J$44,'DB2'!$F$44,LEFT($A58,2)='DB2'!$G$45,'DB2'!$F$45,LEFT($A58,2)='DB2'!$G$46,'DB2'!$F$46,LEFT($A58,2)=LEFT('DB2'!$G$47,2),'DB2'!$F$47)</f>
        <v xml:space="preserve">Commissioned Research </v>
      </c>
      <c r="C58" s="16" t="str">
        <f>VLOOKUP($A58,'DB1'!$C:$Q,12,0)</f>
        <v>Promoting Climate Adaptation Cooperation in Korea and Abroad</v>
      </c>
      <c r="D58" s="12" t="str">
        <f>VLOOKUP($A58,'DB1'!$C:$Q,13,0)</f>
        <v>Cho, Hanna</v>
      </c>
      <c r="E58" s="16" t="str">
        <f>VLOOKUP($A58,'DB1'!$C:$Q,14,0)</f>
        <v>Climate Adaptation</v>
      </c>
      <c r="F58" s="16" t="str">
        <f>VLOOKUP($A58,'DB1'!$C:$Q,15,0)</f>
        <v>International &amp; Regional Collaboration</v>
      </c>
      <c r="G58" s="17">
        <f>VLOOKUP($A58,'DB1'!$C:$Q,9,0)</f>
        <v>45658</v>
      </c>
      <c r="H58" s="17">
        <f>VLOOKUP($A58,'DB1'!$C:$Q,10,0)</f>
        <v>46022</v>
      </c>
    </row>
    <row r="59" spans="1:8" ht="33">
      <c r="A59" t="str">
        <f>'DB1'!$C56</f>
        <v>2025-001-05</v>
      </c>
      <c r="B59" s="16" t="str" cm="1">
        <f t="array" ref="B59">_xlfn.IFS(LEFT($A59,2)='DB2'!$G$43,'DB2'!$F$43,LEFT($A59,2)='DB2'!$G$44,'DB2'!$F$44,LEFT($A59,2)='DB2'!$H$44,'DB2'!$F$44,LEFT($A59,2)='DB2'!$I$44,'DB2'!$F$44,LEFT($A59,2)='DB2'!$J$44,'DB2'!$F$44,LEFT($A59,2)='DB2'!$G$45,'DB2'!$F$45,LEFT($A59,2)='DB2'!$G$46,'DB2'!$F$46,LEFT($A59,2)=LEFT('DB2'!$G$47,2),'DB2'!$F$47)</f>
        <v xml:space="preserve">Commissioned Research </v>
      </c>
      <c r="C59" s="16" t="str">
        <f>VLOOKUP($A59,'DB1'!$C:$Q,12,0)</f>
        <v>Comprehensive Study and Research on Adaptation Policies</v>
      </c>
      <c r="D59" s="12" t="str">
        <f>VLOOKUP($A59,'DB1'!$C:$Q,13,0)</f>
        <v>Jung, Huicheul</v>
      </c>
      <c r="E59" s="16" t="str">
        <f>VLOOKUP($A59,'DB1'!$C:$Q,14,0)</f>
        <v>Climate Adaptation</v>
      </c>
      <c r="F59" s="16">
        <f>VLOOKUP($A59,'DB1'!$C:$Q,15,0)</f>
        <v>0</v>
      </c>
      <c r="G59" s="17">
        <f>VLOOKUP($A59,'DB1'!$C:$Q,9,0)</f>
        <v>45658</v>
      </c>
      <c r="H59" s="17">
        <f>VLOOKUP($A59,'DB1'!$C:$Q,10,0)</f>
        <v>46022</v>
      </c>
    </row>
    <row r="60" spans="1:8" ht="33">
      <c r="A60" t="str">
        <f>'DB1'!$C57</f>
        <v>2025-002</v>
      </c>
      <c r="B60" s="16" t="str" cm="1">
        <f t="array" ref="B60">_xlfn.IFS(LEFT($A60,2)='DB2'!$G$43,'DB2'!$F$43,LEFT($A60,2)='DB2'!$G$44,'DB2'!$F$44,LEFT($A60,2)='DB2'!$H$44,'DB2'!$F$44,LEFT($A60,2)='DB2'!$I$44,'DB2'!$F$44,LEFT($A60,2)='DB2'!$J$44,'DB2'!$F$44,LEFT($A60,2)='DB2'!$G$45,'DB2'!$F$45,LEFT($A60,2)='DB2'!$G$46,'DB2'!$F$46,LEFT($A60,2)=LEFT('DB2'!$G$47,2),'DB2'!$F$47)</f>
        <v xml:space="preserve">Commissioned Research </v>
      </c>
      <c r="C60" s="16" t="str">
        <f>VLOOKUP($A60,'DB1'!$C:$Q,12,0)</f>
        <v>DM Project (Year 3)</v>
      </c>
      <c r="D60" s="12" t="str">
        <f>VLOOKUP($A60,'DB1'!$C:$Q,13,0)</f>
        <v xml:space="preserve">Lee, Seungsoo </v>
      </c>
      <c r="E60" s="16" t="str">
        <f>VLOOKUP($A60,'DB1'!$C:$Q,14,0)</f>
        <v>Water Management</v>
      </c>
      <c r="F60" s="16">
        <f>VLOOKUP($A60,'DB1'!$C:$Q,15,0)</f>
        <v>0</v>
      </c>
      <c r="G60" s="17">
        <f>VLOOKUP($A60,'DB1'!$C:$Q,9,0)</f>
        <v>45658</v>
      </c>
      <c r="H60" s="17">
        <f>VLOOKUP($A60,'DB1'!$C:$Q,10,0)</f>
        <v>46022</v>
      </c>
    </row>
    <row r="61" spans="1:8" ht="33">
      <c r="A61" t="str">
        <f>'DB1'!$C58</f>
        <v>2025-003</v>
      </c>
      <c r="B61" s="16" t="str" cm="1">
        <f t="array" ref="B61">_xlfn.IFS(LEFT($A61,2)='DB2'!$G$43,'DB2'!$F$43,LEFT($A61,2)='DB2'!$G$44,'DB2'!$F$44,LEFT($A61,2)='DB2'!$H$44,'DB2'!$F$44,LEFT($A61,2)='DB2'!$I$44,'DB2'!$F$44,LEFT($A61,2)='DB2'!$J$44,'DB2'!$F$44,LEFT($A61,2)='DB2'!$G$45,'DB2'!$F$45,LEFT($A61,2)='DB2'!$G$46,'DB2'!$F$46,LEFT($A61,2)=LEFT('DB2'!$G$47,2),'DB2'!$F$47)</f>
        <v xml:space="preserve">Commissioned Research </v>
      </c>
      <c r="C61" s="16" t="str">
        <f>VLOOKUP($A61,'DB1'!$C:$Q,12,0)</f>
        <v>2025 Development and Management of National Land Environmental Assessment Maps</v>
      </c>
      <c r="D61" s="12" t="str">
        <f>VLOOKUP($A61,'DB1'!$C:$Q,13,0)</f>
        <v>Yoon, Jeongho</v>
      </c>
      <c r="E61" s="16" t="str">
        <f>VLOOKUP($A61,'DB1'!$C:$Q,14,0)</f>
        <v>Land Management and Environment</v>
      </c>
      <c r="F61" s="16" t="str">
        <f>VLOOKUP($A61,'DB1'!$C:$Q,15,0)</f>
        <v>Environmental Assessment</v>
      </c>
      <c r="G61" s="17">
        <f>VLOOKUP($A61,'DB1'!$C:$Q,9,0)</f>
        <v>45658</v>
      </c>
      <c r="H61" s="17">
        <f>VLOOKUP($A61,'DB1'!$C:$Q,10,0)</f>
        <v>46022</v>
      </c>
    </row>
    <row r="62" spans="1:8" ht="49.5">
      <c r="A62" t="str">
        <f>'DB1'!$C59</f>
        <v>2025-004</v>
      </c>
      <c r="B62" s="16" t="str" cm="1">
        <f t="array" ref="B62">_xlfn.IFS(LEFT($A62,2)='DB2'!$G$43,'DB2'!$F$43,LEFT($A62,2)='DB2'!$G$44,'DB2'!$F$44,LEFT($A62,2)='DB2'!$H$44,'DB2'!$F$44,LEFT($A62,2)='DB2'!$I$44,'DB2'!$F$44,LEFT($A62,2)='DB2'!$J$44,'DB2'!$F$44,LEFT($A62,2)='DB2'!$G$45,'DB2'!$F$45,LEFT($A62,2)='DB2'!$G$46,'DB2'!$F$46,LEFT($A62,2)=LEFT('DB2'!$G$47,2),'DB2'!$F$47)</f>
        <v xml:space="preserve">Commissioned Research </v>
      </c>
      <c r="C62" s="16" t="str">
        <f>VLOOKUP($A62,'DB1'!$C:$Q,12,0)</f>
        <v>KOICA Climate Mainstreaming Strategy and Action Plan Development Consulting (Phase 2)</v>
      </c>
      <c r="D62" s="12" t="str">
        <f>VLOOKUP($A62,'DB1'!$C:$Q,13,0)</f>
        <v>Chang, Hoon</v>
      </c>
      <c r="E62" s="16" t="str">
        <f>VLOOKUP($A62,'DB1'!$C:$Q,14,0)</f>
        <v>Climate Adaptation</v>
      </c>
      <c r="F62" s="16" t="str">
        <f>VLOOKUP($A62,'DB1'!$C:$Q,15,0)</f>
        <v>International &amp; Regional Collaboration</v>
      </c>
      <c r="G62" s="17">
        <f>VLOOKUP($A62,'DB1'!$C:$Q,9,0)</f>
        <v>45658</v>
      </c>
      <c r="H62" s="17">
        <f>VLOOKUP($A62,'DB1'!$C:$Q,10,0)</f>
        <v>46022</v>
      </c>
    </row>
    <row r="63" spans="1:8" ht="33">
      <c r="A63" t="str">
        <f>'DB1'!$C60</f>
        <v>2025-005(R)</v>
      </c>
      <c r="B63" s="16" t="str" cm="1">
        <f t="array" ref="B63">_xlfn.IFS(LEFT($A63,2)='DB2'!$G$43,'DB2'!$F$43,LEFT($A63,2)='DB2'!$G$44,'DB2'!$F$44,LEFT($A63,2)='DB2'!$H$44,'DB2'!$F$44,LEFT($A63,2)='DB2'!$I$44,'DB2'!$F$44,LEFT($A63,2)='DB2'!$J$44,'DB2'!$F$44,LEFT($A63,2)='DB2'!$G$45,'DB2'!$F$45,LEFT($A63,2)='DB2'!$G$46,'DB2'!$F$46,LEFT($A63,2)=LEFT('DB2'!$G$47,2),'DB2'!$F$47)</f>
        <v xml:space="preserve">Commissioned Research </v>
      </c>
      <c r="C63" s="16" t="str">
        <f>VLOOKUP($A63,'DB1'!$C:$Q,12,0)</f>
        <v>Developing Quantitative Assessment Techniques for Wetland Ecosystem Services and Value (Year 4)</v>
      </c>
      <c r="D63" s="12" t="str">
        <f>VLOOKUP($A63,'DB1'!$C:$Q,13,0)</f>
        <v>Kim, Hyunno</v>
      </c>
      <c r="E63" s="16" t="str">
        <f>VLOOKUP($A63,'DB1'!$C:$Q,14,0)</f>
        <v>Environmental Economics</v>
      </c>
      <c r="F63" s="16" t="str">
        <f>VLOOKUP($A63,'DB1'!$C:$Q,15,0)</f>
        <v>Ecology</v>
      </c>
      <c r="G63" s="17">
        <f>VLOOKUP($A63,'DB1'!$C:$Q,9,0)</f>
        <v>45658</v>
      </c>
      <c r="H63" s="17">
        <f>VLOOKUP($A63,'DB1'!$C:$Q,10,0)</f>
        <v>46022</v>
      </c>
    </row>
    <row r="64" spans="1:8" ht="33">
      <c r="A64" t="str">
        <f>'DB1'!$C61</f>
        <v>2025-006(R)</v>
      </c>
      <c r="B64" s="16" t="str" cm="1">
        <f t="array" ref="B64">_xlfn.IFS(LEFT($A64,2)='DB2'!$G$43,'DB2'!$F$43,LEFT($A64,2)='DB2'!$G$44,'DB2'!$F$44,LEFT($A64,2)='DB2'!$H$44,'DB2'!$F$44,LEFT($A64,2)='DB2'!$I$44,'DB2'!$F$44,LEFT($A64,2)='DB2'!$J$44,'DB2'!$F$44,LEFT($A64,2)='DB2'!$G$45,'DB2'!$F$45,LEFT($A64,2)='DB2'!$G$46,'DB2'!$F$46,LEFT($A64,2)=LEFT('DB2'!$G$47,2),'DB2'!$F$47)</f>
        <v xml:space="preserve">Commissioned Research </v>
      </c>
      <c r="C64" s="16" t="str">
        <f>VLOOKUP($A64,'DB1'!$C:$Q,12,0)</f>
        <v>Identifying Suitable Sites for Public-Led Offshore Wind Projects (Year 2)</v>
      </c>
      <c r="D64" s="12" t="str">
        <f>VLOOKUP($A64,'DB1'!$C:$Q,13,0)</f>
        <v>Cho, Kongjang</v>
      </c>
      <c r="E64" s="16" t="str">
        <f>VLOOKUP($A64,'DB1'!$C:$Q,14,0)</f>
        <v>Socio-Environmental Interface</v>
      </c>
      <c r="F64" s="16" t="str">
        <f>VLOOKUP($A64,'DB1'!$C:$Q,15,0)</f>
        <v>Climate Environment (GHG Reduction)</v>
      </c>
      <c r="G64" s="17">
        <f>VLOOKUP($A64,'DB1'!$C:$Q,9,0)</f>
        <v>45658</v>
      </c>
      <c r="H64" s="17">
        <f>VLOOKUP($A64,'DB1'!$C:$Q,10,0)</f>
        <v>46022</v>
      </c>
    </row>
    <row r="65" spans="1:8" ht="33">
      <c r="A65" t="str">
        <f>'DB1'!$C62</f>
        <v>2025-007(R)</v>
      </c>
      <c r="B65" s="16" t="str" cm="1">
        <f t="array" ref="B65">_xlfn.IFS(LEFT($A65,2)='DB2'!$G$43,'DB2'!$F$43,LEFT($A65,2)='DB2'!$G$44,'DB2'!$F$44,LEFT($A65,2)='DB2'!$H$44,'DB2'!$F$44,LEFT($A65,2)='DB2'!$I$44,'DB2'!$F$44,LEFT($A65,2)='DB2'!$J$44,'DB2'!$F$44,LEFT($A65,2)='DB2'!$G$45,'DB2'!$F$45,LEFT($A65,2)='DB2'!$G$46,'DB2'!$F$46,LEFT($A65,2)=LEFT('DB2'!$G$47,2),'DB2'!$F$47)</f>
        <v xml:space="preserve">Commissioned Research </v>
      </c>
      <c r="C65" s="16" t="str">
        <f>VLOOKUP($A65,'DB1'!$C:$Q,12,0)</f>
        <v>Enhancing the Implementation of WMO’s Integrated Global Greenhouse Gas Information System (IG³IS) (Year 2)</v>
      </c>
      <c r="D65" s="12" t="str">
        <f>VLOOKUP($A65,'DB1'!$C:$Q,13,0)</f>
        <v>공동과책 확인</v>
      </c>
      <c r="E65" s="16" t="str">
        <f>VLOOKUP($A65,'DB1'!$C:$Q,14,0)</f>
        <v>Environmental Informatics</v>
      </c>
      <c r="F65" s="16" t="str">
        <f>VLOOKUP($A65,'DB1'!$C:$Q,15,0)</f>
        <v>Climate Environment (GHG Reduction)</v>
      </c>
      <c r="G65" s="17">
        <f>VLOOKUP($A65,'DB1'!$C:$Q,9,0)</f>
        <v>45658</v>
      </c>
      <c r="H65" s="17">
        <f>VLOOKUP($A65,'DB1'!$C:$Q,10,0)</f>
        <v>46022</v>
      </c>
    </row>
    <row r="66" spans="1:8" ht="33">
      <c r="A66" t="str">
        <f>'DB1'!$C63</f>
        <v>2025-008(R)</v>
      </c>
      <c r="B66" s="16" t="str" cm="1">
        <f t="array" ref="B66">_xlfn.IFS(LEFT($A66,2)='DB2'!$G$43,'DB2'!$F$43,LEFT($A66,2)='DB2'!$G$44,'DB2'!$F$44,LEFT($A66,2)='DB2'!$H$44,'DB2'!$F$44,LEFT($A66,2)='DB2'!$I$44,'DB2'!$F$44,LEFT($A66,2)='DB2'!$J$44,'DB2'!$F$44,LEFT($A66,2)='DB2'!$G$45,'DB2'!$F$45,LEFT($A66,2)='DB2'!$G$46,'DB2'!$F$46,LEFT($A66,2)=LEFT('DB2'!$G$47,2),'DB2'!$F$47)</f>
        <v xml:space="preserve">Commissioned Research </v>
      </c>
      <c r="C66" s="16" t="str">
        <f>VLOOKUP($A66,'DB1'!$C:$Q,12,0)</f>
        <v>Development of an AI-Based Decision Support System for Maritime Search and Rescue (Year 4)</v>
      </c>
      <c r="D66" s="12" t="str">
        <f>VLOOKUP($A66,'DB1'!$C:$Q,13,0)</f>
        <v>Kim, Choong-ki</v>
      </c>
      <c r="E66" s="16" t="str">
        <f>VLOOKUP($A66,'DB1'!$C:$Q,14,0)</f>
        <v>Marine Environment</v>
      </c>
      <c r="F66" s="16" t="str">
        <f>VLOOKUP($A66,'DB1'!$C:$Q,15,0)</f>
        <v>Environmental Informatics</v>
      </c>
      <c r="G66" s="17">
        <f>VLOOKUP($A66,'DB1'!$C:$Q,9,0)</f>
        <v>45658</v>
      </c>
      <c r="H66" s="17">
        <f>VLOOKUP($A66,'DB1'!$C:$Q,10,0)</f>
        <v>46022</v>
      </c>
    </row>
    <row r="67" spans="1:8" ht="33">
      <c r="A67" t="str">
        <f>'DB1'!$C64</f>
        <v>2025-009(R)-01</v>
      </c>
      <c r="B67" s="16" t="str" cm="1">
        <f t="array" ref="B67">_xlfn.IFS(LEFT($A67,2)='DB2'!$G$43,'DB2'!$F$43,LEFT($A67,2)='DB2'!$G$44,'DB2'!$F$44,LEFT($A67,2)='DB2'!$H$44,'DB2'!$F$44,LEFT($A67,2)='DB2'!$I$44,'DB2'!$F$44,LEFT($A67,2)='DB2'!$J$44,'DB2'!$F$44,LEFT($A67,2)='DB2'!$G$45,'DB2'!$F$45,LEFT($A67,2)='DB2'!$G$46,'DB2'!$F$46,LEFT($A67,2)=LEFT('DB2'!$G$47,2),'DB2'!$F$47)</f>
        <v xml:space="preserve">Commissioned Research </v>
      </c>
      <c r="C67" s="16" t="str">
        <f>VLOOKUP($A67,'DB1'!$C:$Q,12,0)</f>
        <v>Developing a Decision-Support Module for Adaptation Strategy Selection and Risk Mitigation Evaluation</v>
      </c>
      <c r="D67" s="12" t="str">
        <f>VLOOKUP($A67,'DB1'!$C:$Q,13,0)</f>
        <v>Song, Youngil</v>
      </c>
      <c r="E67" s="16" t="str">
        <f>VLOOKUP($A67,'DB1'!$C:$Q,14,0)</f>
        <v>Climate Adaptation</v>
      </c>
      <c r="F67" s="16" t="str">
        <f>VLOOKUP($A67,'DB1'!$C:$Q,15,0)</f>
        <v>Environmental Informatics</v>
      </c>
      <c r="G67" s="17">
        <f>VLOOKUP($A67,'DB1'!$C:$Q,9,0)</f>
        <v>45658</v>
      </c>
      <c r="H67" s="17">
        <f>VLOOKUP($A67,'DB1'!$C:$Q,10,0)</f>
        <v>46022</v>
      </c>
    </row>
    <row r="68" spans="1:8" ht="33">
      <c r="A68" t="str">
        <f>'DB1'!$C65</f>
        <v>2025-009(R)-02</v>
      </c>
      <c r="B68" s="16" t="str" cm="1">
        <f t="array" ref="B68">_xlfn.IFS(LEFT($A68,2)='DB2'!$G$43,'DB2'!$F$43,LEFT($A68,2)='DB2'!$G$44,'DB2'!$F$44,LEFT($A68,2)='DB2'!$H$44,'DB2'!$F$44,LEFT($A68,2)='DB2'!$I$44,'DB2'!$F$44,LEFT($A68,2)='DB2'!$J$44,'DB2'!$F$44,LEFT($A68,2)='DB2'!$G$45,'DB2'!$F$45,LEFT($A68,2)='DB2'!$G$46,'DB2'!$F$46,LEFT($A68,2)=LEFT('DB2'!$G$47,2),'DB2'!$F$47)</f>
        <v xml:space="preserve">Commissioned Research </v>
      </c>
      <c r="C68" s="16" t="str">
        <f>VLOOKUP($A68,'DB1'!$C:$Q,12,0)</f>
        <v>Developing a Regional Water Management System for Climate Change Impact and Risk Evaluation</v>
      </c>
      <c r="D68" s="12" t="str">
        <f>VLOOKUP($A68,'DB1'!$C:$Q,13,0)</f>
        <v>Ahn, Jongho</v>
      </c>
      <c r="E68" s="16" t="str">
        <f>VLOOKUP($A68,'DB1'!$C:$Q,14,0)</f>
        <v>Water Management</v>
      </c>
      <c r="F68" s="16" t="str">
        <f>VLOOKUP($A68,'DB1'!$C:$Q,15,0)</f>
        <v>Climate Adaptation</v>
      </c>
      <c r="G68" s="17">
        <f>VLOOKUP($A68,'DB1'!$C:$Q,9,0)</f>
        <v>45658</v>
      </c>
      <c r="H68" s="17">
        <f>VLOOKUP($A68,'DB1'!$C:$Q,10,0)</f>
        <v>46022</v>
      </c>
    </row>
    <row r="69" spans="1:8" ht="49.5">
      <c r="A69" t="str">
        <f>'DB1'!$C66</f>
        <v>2025-010(R)</v>
      </c>
      <c r="B69" s="16" t="str" cm="1">
        <f t="array" ref="B69">_xlfn.IFS(LEFT($A69,2)='DB2'!$G$43,'DB2'!$F$43,LEFT($A69,2)='DB2'!$G$44,'DB2'!$F$44,LEFT($A69,2)='DB2'!$H$44,'DB2'!$F$44,LEFT($A69,2)='DB2'!$I$44,'DB2'!$F$44,LEFT($A69,2)='DB2'!$J$44,'DB2'!$F$44,LEFT($A69,2)='DB2'!$G$45,'DB2'!$F$45,LEFT($A69,2)='DB2'!$G$46,'DB2'!$F$46,LEFT($A69,2)=LEFT('DB2'!$G$47,2),'DB2'!$F$47)</f>
        <v xml:space="preserve">Commissioned Research </v>
      </c>
      <c r="C69" s="16" t="str">
        <f>VLOOKUP($A69,'DB1'!$C:$Q,12,0)</f>
        <v>Global Power Sector Modeling for Advancing Carbon Neutrality (Year 4)</v>
      </c>
      <c r="D69" s="12" t="str">
        <f>VLOOKUP($A69,'DB1'!$C:$Q,13,0)</f>
        <v>Chang, Hoon</v>
      </c>
      <c r="E69" s="16" t="str">
        <f>VLOOKUP($A69,'DB1'!$C:$Q,14,0)</f>
        <v>Climate Environment (GHG Reduction)</v>
      </c>
      <c r="F69" s="16" t="str">
        <f>VLOOKUP($A69,'DB1'!$C:$Q,15,0)</f>
        <v>International &amp; Regional Collaboration</v>
      </c>
      <c r="G69" s="17">
        <f>VLOOKUP($A69,'DB1'!$C:$Q,9,0)</f>
        <v>45658</v>
      </c>
      <c r="H69" s="17">
        <f>VLOOKUP($A69,'DB1'!$C:$Q,10,0)</f>
        <v>46022</v>
      </c>
    </row>
    <row r="70" spans="1:8" ht="33">
      <c r="A70" t="str">
        <f>'DB1'!$C67</f>
        <v>2025-011(R)</v>
      </c>
      <c r="B70" s="16" t="str" cm="1">
        <f t="array" ref="B70">_xlfn.IFS(LEFT($A70,2)='DB2'!$G$43,'DB2'!$F$43,LEFT($A70,2)='DB2'!$G$44,'DB2'!$F$44,LEFT($A70,2)='DB2'!$H$44,'DB2'!$F$44,LEFT($A70,2)='DB2'!$I$44,'DB2'!$F$44,LEFT($A70,2)='DB2'!$J$44,'DB2'!$F$44,LEFT($A70,2)='DB2'!$G$45,'DB2'!$F$45,LEFT($A70,2)='DB2'!$G$46,'DB2'!$F$46,LEFT($A70,2)=LEFT('DB2'!$G$47,2),'DB2'!$F$47)</f>
        <v xml:space="preserve">Commissioned Research </v>
      </c>
      <c r="C70" s="16" t="str">
        <f>VLOOKUP($A70,'DB1'!$C:$Q,12,0)</f>
        <v>Evaluation of Urban Climate Resilience Technologies and Development of a Decision Support System (Year 4)</v>
      </c>
      <c r="D70" s="12" t="str">
        <f>VLOOKUP($A70,'DB1'!$C:$Q,13,0)</f>
        <v>Jung, Huicheul</v>
      </c>
      <c r="E70" s="16" t="str">
        <f>VLOOKUP($A70,'DB1'!$C:$Q,14,0)</f>
        <v>Climate Adaptation</v>
      </c>
      <c r="F70" s="16" t="str">
        <f>VLOOKUP($A70,'DB1'!$C:$Q,15,0)</f>
        <v>Environmental Informatics</v>
      </c>
      <c r="G70" s="17">
        <f>VLOOKUP($A70,'DB1'!$C:$Q,9,0)</f>
        <v>45658</v>
      </c>
      <c r="H70" s="17">
        <f>VLOOKUP($A70,'DB1'!$C:$Q,10,0)</f>
        <v>46022</v>
      </c>
    </row>
    <row r="71" spans="1:8" ht="33">
      <c r="A71" t="str">
        <f>'DB1'!$C68</f>
        <v>2025-012(R)</v>
      </c>
      <c r="B71" s="16" t="str" cm="1">
        <f t="array" ref="B71">_xlfn.IFS(LEFT($A71,2)='DB2'!$G$43,'DB2'!$F$43,LEFT($A71,2)='DB2'!$G$44,'DB2'!$F$44,LEFT($A71,2)='DB2'!$H$44,'DB2'!$F$44,LEFT($A71,2)='DB2'!$I$44,'DB2'!$F$44,LEFT($A71,2)='DB2'!$J$44,'DB2'!$F$44,LEFT($A71,2)='DB2'!$G$45,'DB2'!$F$45,LEFT($A71,2)='DB2'!$G$46,'DB2'!$F$46,LEFT($A71,2)=LEFT('DB2'!$G$47,2),'DB2'!$F$47)</f>
        <v xml:space="preserve">Commissioned Research </v>
      </c>
      <c r="C71" s="16" t="str">
        <f>VLOOKUP($A71,'DB1'!$C:$Q,12,0)</f>
        <v>Developing an AOP-Based Integrated Testing and Assessment Approach (ITS/IATA) for Complex Human Toxicity Evaluation of Mixtures in Consumer Chemical Products (Year 3)</v>
      </c>
      <c r="D71" s="12" t="str">
        <f>VLOOKUP($A71,'DB1'!$C:$Q,13,0)</f>
        <v xml:space="preserve">Jung, Dawoon </v>
      </c>
      <c r="E71" s="16" t="str">
        <f>VLOOKUP($A71,'DB1'!$C:$Q,14,0)</f>
        <v>Environmental Health</v>
      </c>
      <c r="F71" s="16">
        <f>VLOOKUP($A71,'DB1'!$C:$Q,15,0)</f>
        <v>0</v>
      </c>
      <c r="G71" s="17">
        <f>VLOOKUP($A71,'DB1'!$C:$Q,9,0)</f>
        <v>45658</v>
      </c>
      <c r="H71" s="17">
        <f>VLOOKUP($A71,'DB1'!$C:$Q,10,0)</f>
        <v>46022</v>
      </c>
    </row>
    <row r="72" spans="1:8" ht="33">
      <c r="A72" t="str">
        <f>'DB1'!$C69</f>
        <v>2025-013(R)</v>
      </c>
      <c r="B72" s="16" t="str" cm="1">
        <f t="array" ref="B72">_xlfn.IFS(LEFT($A72,2)='DB2'!$G$43,'DB2'!$F$43,LEFT($A72,2)='DB2'!$G$44,'DB2'!$F$44,LEFT($A72,2)='DB2'!$H$44,'DB2'!$F$44,LEFT($A72,2)='DB2'!$I$44,'DB2'!$F$44,LEFT($A72,2)='DB2'!$J$44,'DB2'!$F$44,LEFT($A72,2)='DB2'!$G$45,'DB2'!$F$45,LEFT($A72,2)='DB2'!$G$46,'DB2'!$F$46,LEFT($A72,2)=LEFT('DB2'!$G$47,2),'DB2'!$F$47)</f>
        <v xml:space="preserve">Commissioned Research </v>
      </c>
      <c r="C72" s="16" t="str">
        <f>VLOOKUP($A72,'DB1'!$C:$Q,12,0)</f>
        <v>Development and Application of Techniques for Water Scarcity Damage Analysis and Socioeconomic Valuation of Water Supply (Year 3)</v>
      </c>
      <c r="D72" s="12" t="str">
        <f>VLOOKUP($A72,'DB1'!$C:$Q,13,0)</f>
        <v>Lee, Moonhwan</v>
      </c>
      <c r="E72" s="16" t="str">
        <f>VLOOKUP($A72,'DB1'!$C:$Q,14,0)</f>
        <v>Water Management</v>
      </c>
      <c r="F72" s="16" t="str">
        <f>VLOOKUP($A72,'DB1'!$C:$Q,15,0)</f>
        <v>Environmental Economics</v>
      </c>
      <c r="G72" s="17">
        <f>VLOOKUP($A72,'DB1'!$C:$Q,9,0)</f>
        <v>45658</v>
      </c>
      <c r="H72" s="17">
        <f>VLOOKUP($A72,'DB1'!$C:$Q,10,0)</f>
        <v>46022</v>
      </c>
    </row>
    <row r="73" spans="1:8" ht="33">
      <c r="A73" t="str">
        <f>'DB1'!$C70</f>
        <v>2025-014(R)</v>
      </c>
      <c r="B73" s="16" t="str" cm="1">
        <f t="array" ref="B73">_xlfn.IFS(LEFT($A73,2)='DB2'!$G$43,'DB2'!$F$43,LEFT($A73,2)='DB2'!$G$44,'DB2'!$F$44,LEFT($A73,2)='DB2'!$H$44,'DB2'!$F$44,LEFT($A73,2)='DB2'!$I$44,'DB2'!$F$44,LEFT($A73,2)='DB2'!$J$44,'DB2'!$F$44,LEFT($A73,2)='DB2'!$G$45,'DB2'!$F$45,LEFT($A73,2)='DB2'!$G$46,'DB2'!$F$46,LEFT($A73,2)=LEFT('DB2'!$G$47,2),'DB2'!$F$47)</f>
        <v xml:space="preserve">Commissioned Research </v>
      </c>
      <c r="C73" s="16" t="str">
        <f>VLOOKUP($A73,'DB1'!$C:$Q,12,0)</f>
        <v>Technology Development for Supporting Carbon Mapping-Based Planning (Year 3)</v>
      </c>
      <c r="D73" s="12" t="str">
        <f>VLOOKUP($A73,'DB1'!$C:$Q,13,0)</f>
        <v xml:space="preserve">Kim, Geunhan </v>
      </c>
      <c r="E73" s="16" t="str">
        <f>VLOOKUP($A73,'DB1'!$C:$Q,14,0)</f>
        <v>Land Management and Environment</v>
      </c>
      <c r="F73" s="16" t="str">
        <f>VLOOKUP($A73,'DB1'!$C:$Q,15,0)</f>
        <v>Climate Environment (GHG Reduction)</v>
      </c>
      <c r="G73" s="17">
        <f>VLOOKUP($A73,'DB1'!$C:$Q,9,0)</f>
        <v>45658</v>
      </c>
      <c r="H73" s="17">
        <f>VLOOKUP($A73,'DB1'!$C:$Q,10,0)</f>
        <v>46022</v>
      </c>
    </row>
    <row r="74" spans="1:8" ht="33">
      <c r="A74" t="str">
        <f>'DB1'!$C71</f>
        <v>2025-015(R)</v>
      </c>
      <c r="B74" s="16" t="str" cm="1">
        <f t="array" ref="B74">_xlfn.IFS(LEFT($A74,2)='DB2'!$G$43,'DB2'!$F$43,LEFT($A74,2)='DB2'!$G$44,'DB2'!$F$44,LEFT($A74,2)='DB2'!$H$44,'DB2'!$F$44,LEFT($A74,2)='DB2'!$I$44,'DB2'!$F$44,LEFT($A74,2)='DB2'!$J$44,'DB2'!$F$44,LEFT($A74,2)='DB2'!$G$45,'DB2'!$F$45,LEFT($A74,2)='DB2'!$G$46,'DB2'!$F$46,LEFT($A74,2)=LEFT('DB2'!$G$47,2),'DB2'!$F$47)</f>
        <v xml:space="preserve">Commissioned Research </v>
      </c>
      <c r="C74" s="16" t="str">
        <f>VLOOKUP($A74,'DB1'!$C:$Q,12,0)</f>
        <v>Developing Technologies for Assessing and Predicting Wetland Ecosystem Responses to Climate Change (Year 4)</v>
      </c>
      <c r="D74" s="12" t="str">
        <f>VLOOKUP($A74,'DB1'!$C:$Q,13,0)</f>
        <v>Myeong, Soojeong</v>
      </c>
      <c r="E74" s="16" t="str">
        <f>VLOOKUP($A74,'DB1'!$C:$Q,14,0)</f>
        <v>Ecology</v>
      </c>
      <c r="F74" s="16" t="str">
        <f>VLOOKUP($A74,'DB1'!$C:$Q,15,0)</f>
        <v>Climate Adaptation</v>
      </c>
      <c r="G74" s="17">
        <f>VLOOKUP($A74,'DB1'!$C:$Q,9,0)</f>
        <v>45658</v>
      </c>
      <c r="H74" s="17">
        <f>VLOOKUP($A74,'DB1'!$C:$Q,10,0)</f>
        <v>46022</v>
      </c>
    </row>
    <row r="75" spans="1:8" ht="33">
      <c r="A75" t="str">
        <f>'DB1'!$C72</f>
        <v>2025-016</v>
      </c>
      <c r="B75" s="16" t="str" cm="1">
        <f t="array" ref="B75">_xlfn.IFS(LEFT($A75,2)='DB2'!$G$43,'DB2'!$F$43,LEFT($A75,2)='DB2'!$G$44,'DB2'!$F$44,LEFT($A75,2)='DB2'!$H$44,'DB2'!$F$44,LEFT($A75,2)='DB2'!$I$44,'DB2'!$F$44,LEFT($A75,2)='DB2'!$J$44,'DB2'!$F$44,LEFT($A75,2)='DB2'!$G$45,'DB2'!$F$45,LEFT($A75,2)='DB2'!$G$46,'DB2'!$F$46,LEFT($A75,2)=LEFT('DB2'!$G$47,2),'DB2'!$F$47)</f>
        <v xml:space="preserve">Commissioned Research </v>
      </c>
      <c r="C75" s="16" t="str">
        <f>VLOOKUP($A75,'DB1'!$C:$Q,12,0)</f>
        <v>Developing Technologies for Water Resources Satellite Utilization (II) (Year 2)</v>
      </c>
      <c r="D75" s="12" t="str">
        <f>VLOOKUP($A75,'DB1'!$C:$Q,13,0)</f>
        <v>Lee, Sunmin</v>
      </c>
      <c r="E75" s="16" t="str">
        <f>VLOOKUP($A75,'DB1'!$C:$Q,14,0)</f>
        <v>Water Management</v>
      </c>
      <c r="F75" s="16" t="str">
        <f>VLOOKUP($A75,'DB1'!$C:$Q,15,0)</f>
        <v>Environmental Informatics</v>
      </c>
      <c r="G75" s="17">
        <f>VLOOKUP($A75,'DB1'!$C:$Q,9,0)</f>
        <v>45735</v>
      </c>
      <c r="H75" s="17">
        <f>VLOOKUP($A75,'DB1'!$C:$Q,10,0)</f>
        <v>46099</v>
      </c>
    </row>
    <row r="76" spans="1:8" ht="33">
      <c r="A76" t="str">
        <f>'DB1'!$C73</f>
        <v>2025-017(R)</v>
      </c>
      <c r="B76" s="16" t="str" cm="1">
        <f t="array" ref="B76">_xlfn.IFS(LEFT($A76,2)='DB2'!$G$43,'DB2'!$F$43,LEFT($A76,2)='DB2'!$G$44,'DB2'!$F$44,LEFT($A76,2)='DB2'!$H$44,'DB2'!$F$44,LEFT($A76,2)='DB2'!$I$44,'DB2'!$F$44,LEFT($A76,2)='DB2'!$J$44,'DB2'!$F$44,LEFT($A76,2)='DB2'!$G$45,'DB2'!$F$45,LEFT($A76,2)='DB2'!$G$46,'DB2'!$F$46,LEFT($A76,2)=LEFT('DB2'!$G$47,2),'DB2'!$F$47)</f>
        <v xml:space="preserve">Commissioned Research </v>
      </c>
      <c r="C76" s="16" t="str">
        <f>VLOOKUP($A76,'DB1'!$C:$Q,12,0)</f>
        <v>Developing AI-Based Practical Tools for Urban Flood Risk Prediction and Assessment (Year 2)</v>
      </c>
      <c r="D76" s="12" t="str">
        <f>VLOOKUP($A76,'DB1'!$C:$Q,13,0)</f>
        <v>Lee, Moonhwan</v>
      </c>
      <c r="E76" s="16" t="str">
        <f>VLOOKUP($A76,'DB1'!$C:$Q,14,0)</f>
        <v>Water Management</v>
      </c>
      <c r="F76" s="16" t="str">
        <f>VLOOKUP($A76,'DB1'!$C:$Q,15,0)</f>
        <v>Environmental Informatics</v>
      </c>
      <c r="G76" s="17">
        <f>VLOOKUP($A76,'DB1'!$C:$Q,9,0)</f>
        <v>45658</v>
      </c>
      <c r="H76" s="17">
        <f>VLOOKUP($A76,'DB1'!$C:$Q,10,0)</f>
        <v>46022</v>
      </c>
    </row>
    <row r="77" spans="1:8" ht="33">
      <c r="A77" t="str">
        <f>'DB1'!$C74</f>
        <v>2025-018(R)</v>
      </c>
      <c r="B77" s="16" t="str" cm="1">
        <f t="array" ref="B77">_xlfn.IFS(LEFT($A77,2)='DB2'!$G$43,'DB2'!$F$43,LEFT($A77,2)='DB2'!$G$44,'DB2'!$F$44,LEFT($A77,2)='DB2'!$H$44,'DB2'!$F$44,LEFT($A77,2)='DB2'!$I$44,'DB2'!$F$44,LEFT($A77,2)='DB2'!$J$44,'DB2'!$F$44,LEFT($A77,2)='DB2'!$G$45,'DB2'!$F$45,LEFT($A77,2)='DB2'!$G$46,'DB2'!$F$46,LEFT($A77,2)=LEFT('DB2'!$G$47,2),'DB2'!$F$47)</f>
        <v xml:space="preserve">Commissioned Research </v>
      </c>
      <c r="C77" s="16" t="str">
        <f>VLOOKUP($A77,'DB1'!$C:$Q,12,0)</f>
        <v>Developing an Integrated Management Platform for Carbon Sinks Incorporating Ecosystem Services (Year 3)</v>
      </c>
      <c r="D77" s="12" t="str">
        <f>VLOOKUP($A77,'DB1'!$C:$Q,13,0)</f>
        <v>Myeong, Soojeong</v>
      </c>
      <c r="E77" s="16" t="str">
        <f>VLOOKUP($A77,'DB1'!$C:$Q,14,0)</f>
        <v>Climate Environment (GHG Reduction)</v>
      </c>
      <c r="F77" s="16" t="str">
        <f>VLOOKUP($A77,'DB1'!$C:$Q,15,0)</f>
        <v>Ecology</v>
      </c>
      <c r="G77" s="17">
        <f>VLOOKUP($A77,'DB1'!$C:$Q,9,0)</f>
        <v>45658</v>
      </c>
      <c r="H77" s="17">
        <f>VLOOKUP($A77,'DB1'!$C:$Q,10,0)</f>
        <v>46022</v>
      </c>
    </row>
    <row r="78" spans="1:8" ht="33">
      <c r="A78" t="str">
        <f>'DB1'!$C75</f>
        <v>2025-019(R)</v>
      </c>
      <c r="B78" s="16" t="str" cm="1">
        <f t="array" ref="B78">_xlfn.IFS(LEFT($A78,2)='DB2'!$G$43,'DB2'!$F$43,LEFT($A78,2)='DB2'!$G$44,'DB2'!$F$44,LEFT($A78,2)='DB2'!$H$44,'DB2'!$F$44,LEFT($A78,2)='DB2'!$I$44,'DB2'!$F$44,LEFT($A78,2)='DB2'!$J$44,'DB2'!$F$44,LEFT($A78,2)='DB2'!$G$45,'DB2'!$F$45,LEFT($A78,2)='DB2'!$G$46,'DB2'!$F$46,LEFT($A78,2)=LEFT('DB2'!$G$47,2),'DB2'!$F$47)</f>
        <v xml:space="preserve">Commissioned Research </v>
      </c>
      <c r="C78" s="16" t="str">
        <f>VLOOKUP($A78,'DB1'!$C:$Q,12,0)</f>
        <v>Developing Impact Assessment and Management Technologies for Hazardous Emissions from Marine Industrial Facilities (Year 5)</v>
      </c>
      <c r="D78" s="12" t="str">
        <f>VLOOKUP($A78,'DB1'!$C:$Q,13,0)</f>
        <v>Kim, Taeyun</v>
      </c>
      <c r="E78" s="16" t="str">
        <f>VLOOKUP($A78,'DB1'!$C:$Q,14,0)</f>
        <v>Environmental Assessment</v>
      </c>
      <c r="F78" s="16" t="str">
        <f>VLOOKUP($A78,'DB1'!$C:$Q,15,0)</f>
        <v>Marine Environment</v>
      </c>
      <c r="G78" s="17">
        <f>VLOOKUP($A78,'DB1'!$C:$Q,9,0)</f>
        <v>45658</v>
      </c>
      <c r="H78" s="17">
        <f>VLOOKUP($A78,'DB1'!$C:$Q,10,0)</f>
        <v>46022</v>
      </c>
    </row>
    <row r="79" spans="1:8" ht="33">
      <c r="A79" t="str">
        <f>'DB1'!$C76</f>
        <v>2025-020(R)</v>
      </c>
      <c r="B79" s="16" t="str" cm="1">
        <f t="array" ref="B79">_xlfn.IFS(LEFT($A79,2)='DB2'!$G$43,'DB2'!$F$43,LEFT($A79,2)='DB2'!$G$44,'DB2'!$F$44,LEFT($A79,2)='DB2'!$H$44,'DB2'!$F$44,LEFT($A79,2)='DB2'!$I$44,'DB2'!$F$44,LEFT($A79,2)='DB2'!$J$44,'DB2'!$F$44,LEFT($A79,2)='DB2'!$G$45,'DB2'!$F$45,LEFT($A79,2)='DB2'!$G$46,'DB2'!$F$46,LEFT($A79,2)=LEFT('DB2'!$G$47,2),'DB2'!$F$47)</f>
        <v xml:space="preserve">Commissioned Research </v>
      </c>
      <c r="C79" s="16" t="str">
        <f>VLOOKUP($A79,'DB1'!$C:$Q,12,0)</f>
        <v>Developing Technologies to Build an Observation-Based GHG Spatial Information Mapping Platform (Year 3)</v>
      </c>
      <c r="D79" s="12" t="str">
        <f>VLOOKUP($A79,'DB1'!$C:$Q,13,0)</f>
        <v>Lee, Seungmin</v>
      </c>
      <c r="E79" s="16" t="str">
        <f>VLOOKUP($A79,'DB1'!$C:$Q,14,0)</f>
        <v>Climate Environment (GHG Reduction)</v>
      </c>
      <c r="F79" s="16" t="str">
        <f>VLOOKUP($A79,'DB1'!$C:$Q,15,0)</f>
        <v>Environmental Informatics</v>
      </c>
      <c r="G79" s="17">
        <f>VLOOKUP($A79,'DB1'!$C:$Q,9,0)</f>
        <v>45658</v>
      </c>
      <c r="H79" s="17">
        <f>VLOOKUP($A79,'DB1'!$C:$Q,10,0)</f>
        <v>46022</v>
      </c>
    </row>
    <row r="80" spans="1:8" ht="33">
      <c r="A80" t="str">
        <f>'DB1'!$C77</f>
        <v>2025-021(R)</v>
      </c>
      <c r="B80" s="16" t="str" cm="1">
        <f t="array" ref="B80">_xlfn.IFS(LEFT($A80,2)='DB2'!$G$43,'DB2'!$F$43,LEFT($A80,2)='DB2'!$G$44,'DB2'!$F$44,LEFT($A80,2)='DB2'!$H$44,'DB2'!$F$44,LEFT($A80,2)='DB2'!$I$44,'DB2'!$F$44,LEFT($A80,2)='DB2'!$J$44,'DB2'!$F$44,LEFT($A80,2)='DB2'!$G$45,'DB2'!$F$45,LEFT($A80,2)='DB2'!$G$46,'DB2'!$F$46,LEFT($A80,2)=LEFT('DB2'!$G$47,2),'DB2'!$F$47)</f>
        <v xml:space="preserve">Commissioned Research </v>
      </c>
      <c r="C80" s="16" t="str">
        <f>VLOOKUP($A80,'DB1'!$C:$Q,12,0)</f>
        <v>Developing a Customized Regional PM2.5 Management System (Year 6)</v>
      </c>
      <c r="D80" s="12" t="str">
        <f>VLOOKUP($A80,'DB1'!$C:$Q,13,0)</f>
        <v>Gong, Sungyong</v>
      </c>
      <c r="E80" s="16" t="str">
        <f>VLOOKUP($A80,'DB1'!$C:$Q,14,0)</f>
        <v>Atmospheric Environment</v>
      </c>
      <c r="F80" s="16">
        <f>VLOOKUP($A80,'DB1'!$C:$Q,15,0)</f>
        <v>0</v>
      </c>
      <c r="G80" s="17">
        <f>VLOOKUP($A80,'DB1'!$C:$Q,9,0)</f>
        <v>45658</v>
      </c>
      <c r="H80" s="17">
        <f>VLOOKUP($A80,'DB1'!$C:$Q,10,0)</f>
        <v>45747</v>
      </c>
    </row>
    <row r="81" spans="1:8" ht="33">
      <c r="A81" t="str">
        <f>'DB1'!$C78</f>
        <v>2025-022</v>
      </c>
      <c r="B81" s="16" t="str" cm="1">
        <f t="array" ref="B81">_xlfn.IFS(LEFT($A81,2)='DB2'!$G$43,'DB2'!$F$43,LEFT($A81,2)='DB2'!$G$44,'DB2'!$F$44,LEFT($A81,2)='DB2'!$H$44,'DB2'!$F$44,LEFT($A81,2)='DB2'!$I$44,'DB2'!$F$44,LEFT($A81,2)='DB2'!$J$44,'DB2'!$F$44,LEFT($A81,2)='DB2'!$G$45,'DB2'!$F$45,LEFT($A81,2)='DB2'!$G$46,'DB2'!$F$46,LEFT($A81,2)=LEFT('DB2'!$G$47,2),'DB2'!$F$47)</f>
        <v xml:space="preserve">Commissioned Research </v>
      </c>
      <c r="C81" s="16" t="str">
        <f>VLOOKUP($A81,'DB1'!$C:$Q,12,0)</f>
        <v>Empirical Research of Corbicula japonica Habitats in the Lower Seomjin River (Phase 2)</v>
      </c>
      <c r="D81" s="12" t="str">
        <f>VLOOKUP($A81,'DB1'!$C:$Q,13,0)</f>
        <v>Baek, Donghae</v>
      </c>
      <c r="E81" s="16" t="str">
        <f>VLOOKUP($A81,'DB1'!$C:$Q,14,0)</f>
        <v>Ecology</v>
      </c>
      <c r="F81" s="16" t="str">
        <f>VLOOKUP($A81,'DB1'!$C:$Q,15,0)</f>
        <v>Water Management</v>
      </c>
      <c r="G81" s="17">
        <f>VLOOKUP($A81,'DB1'!$C:$Q,9,0)</f>
        <v>45672</v>
      </c>
      <c r="H81" s="17">
        <f>VLOOKUP($A81,'DB1'!$C:$Q,10,0)</f>
        <v>46095</v>
      </c>
    </row>
    <row r="82" spans="1:8" ht="33">
      <c r="A82" t="str">
        <f>'DB1'!$C79</f>
        <v>2025-023</v>
      </c>
      <c r="B82" s="16" t="str" cm="1">
        <f t="array" ref="B82">_xlfn.IFS(LEFT($A82,2)='DB2'!$G$43,'DB2'!$F$43,LEFT($A82,2)='DB2'!$G$44,'DB2'!$F$44,LEFT($A82,2)='DB2'!$H$44,'DB2'!$F$44,LEFT($A82,2)='DB2'!$I$44,'DB2'!$F$44,LEFT($A82,2)='DB2'!$J$44,'DB2'!$F$44,LEFT($A82,2)='DB2'!$G$45,'DB2'!$F$45,LEFT($A82,2)='DB2'!$G$46,'DB2'!$F$46,LEFT($A82,2)=LEFT('DB2'!$G$47,2),'DB2'!$F$47)</f>
        <v xml:space="preserve">Commissioned Research </v>
      </c>
      <c r="C82" s="16" t="str">
        <f>VLOOKUP($A82,'DB1'!$C:$Q,12,0)</f>
        <v>2024 Progress Review of the First Master Plan for National Water Management</v>
      </c>
      <c r="D82" s="12" t="str">
        <f>VLOOKUP($A82,'DB1'!$C:$Q,13,0)</f>
        <v>Ryu, Jaena</v>
      </c>
      <c r="E82" s="16" t="str">
        <f>VLOOKUP($A82,'DB1'!$C:$Q,14,0)</f>
        <v>Water Management</v>
      </c>
      <c r="F82" s="16" t="str">
        <f>VLOOKUP($A82,'DB1'!$C:$Q,15,0)</f>
        <v>Land management and environment</v>
      </c>
      <c r="G82" s="17">
        <f>VLOOKUP($A82,'DB1'!$C:$Q,9,0)</f>
        <v>45674</v>
      </c>
      <c r="H82" s="17">
        <f>VLOOKUP($A82,'DB1'!$C:$Q,10,0)</f>
        <v>45972</v>
      </c>
    </row>
    <row r="83" spans="1:8" ht="33">
      <c r="A83" t="str">
        <f>'DB1'!$C80</f>
        <v>2025-024</v>
      </c>
      <c r="B83" s="16" t="str" cm="1">
        <f t="array" ref="B83">_xlfn.IFS(LEFT($A83,2)='DB2'!$G$43,'DB2'!$F$43,LEFT($A83,2)='DB2'!$G$44,'DB2'!$F$44,LEFT($A83,2)='DB2'!$H$44,'DB2'!$F$44,LEFT($A83,2)='DB2'!$I$44,'DB2'!$F$44,LEFT($A83,2)='DB2'!$J$44,'DB2'!$F$44,LEFT($A83,2)='DB2'!$G$45,'DB2'!$F$45,LEFT($A83,2)='DB2'!$G$46,'DB2'!$F$46,LEFT($A83,2)=LEFT('DB2'!$G$47,2),'DB2'!$F$47)</f>
        <v xml:space="preserve">Commissioned Research </v>
      </c>
      <c r="C83" s="16" t="str">
        <f>VLOOKUP($A83,'DB1'!$C:$Q,12,0)</f>
        <v>Development of the National Framework for Promoting Water Circulation and a Status Assessment</v>
      </c>
      <c r="D83" s="12" t="str">
        <f>VLOOKUP($A83,'DB1'!$C:$Q,13,0)</f>
        <v>Han, Haejin</v>
      </c>
      <c r="E83" s="16" t="str">
        <f>VLOOKUP($A83,'DB1'!$C:$Q,14,0)</f>
        <v>Water Management</v>
      </c>
      <c r="F83" s="16">
        <f>VLOOKUP($A83,'DB1'!$C:$Q,15,0)</f>
        <v>0</v>
      </c>
      <c r="G83" s="17">
        <f>VLOOKUP($A83,'DB1'!$C:$Q,9,0)</f>
        <v>45681</v>
      </c>
      <c r="H83" s="17">
        <f>VLOOKUP($A83,'DB1'!$C:$Q,10,0)</f>
        <v>45980</v>
      </c>
    </row>
    <row r="84" spans="1:8" ht="33">
      <c r="A84" t="str">
        <f>'DB1'!$C81</f>
        <v>2025-025</v>
      </c>
      <c r="B84" s="16" t="str" cm="1">
        <f t="array" ref="B84">_xlfn.IFS(LEFT($A84,2)='DB2'!$G$43,'DB2'!$F$43,LEFT($A84,2)='DB2'!$G$44,'DB2'!$F$44,LEFT($A84,2)='DB2'!$H$44,'DB2'!$F$44,LEFT($A84,2)='DB2'!$I$44,'DB2'!$F$44,LEFT($A84,2)='DB2'!$J$44,'DB2'!$F$44,LEFT($A84,2)='DB2'!$G$45,'DB2'!$F$45,LEFT($A84,2)='DB2'!$G$46,'DB2'!$F$46,LEFT($A84,2)=LEFT('DB2'!$G$47,2),'DB2'!$F$47)</f>
        <v xml:space="preserve">Commissioned Research </v>
      </c>
      <c r="C84" s="16" t="str">
        <f>VLOOKUP($A84,'DB1'!$C:$Q,12,0)</f>
        <v>Operation of the Environmental Impact Assessment Reform Forum</v>
      </c>
      <c r="D84" s="12" t="str">
        <f>VLOOKUP($A84,'DB1'!$C:$Q,13,0)</f>
        <v>Kim, Kyoung-Ho</v>
      </c>
      <c r="E84" s="16" t="str">
        <f>VLOOKUP($A84,'DB1'!$C:$Q,14,0)</f>
        <v>Environmental Assessment</v>
      </c>
      <c r="F84" s="16">
        <f>VLOOKUP($A84,'DB1'!$C:$Q,15,0)</f>
        <v>0</v>
      </c>
      <c r="G84" s="17">
        <f>VLOOKUP($A84,'DB1'!$C:$Q,9,0)</f>
        <v>45695</v>
      </c>
      <c r="H84" s="17">
        <f>VLOOKUP($A84,'DB1'!$C:$Q,10,0)</f>
        <v>45994</v>
      </c>
    </row>
    <row r="85" spans="1:8" ht="33">
      <c r="A85" t="str">
        <f>'DB1'!$C82</f>
        <v>2025-026</v>
      </c>
      <c r="B85" s="16" t="str" cm="1">
        <f t="array" ref="B85">_xlfn.IFS(LEFT($A85,2)='DB2'!$G$43,'DB2'!$F$43,LEFT($A85,2)='DB2'!$G$44,'DB2'!$F$44,LEFT($A85,2)='DB2'!$H$44,'DB2'!$F$44,LEFT($A85,2)='DB2'!$I$44,'DB2'!$F$44,LEFT($A85,2)='DB2'!$J$44,'DB2'!$F$44,LEFT($A85,2)='DB2'!$G$45,'DB2'!$F$45,LEFT($A85,2)='DB2'!$G$46,'DB2'!$F$46,LEFT($A85,2)=LEFT('DB2'!$G$47,2),'DB2'!$F$47)</f>
        <v xml:space="preserve">Commissioned Research </v>
      </c>
      <c r="C85" s="16" t="str">
        <f>VLOOKUP($A85,'DB1'!$C:$Q,12,0)</f>
        <v>Developing National Long-Term Greenhouse Gas Reduction Pathways (Phase 2)</v>
      </c>
      <c r="D85" s="12" t="str">
        <f>VLOOKUP($A85,'DB1'!$C:$Q,13,0)</f>
        <v>Kim, Sungjin</v>
      </c>
      <c r="E85" s="16" t="str">
        <f>VLOOKUP($A85,'DB1'!$C:$Q,14,0)</f>
        <v>Climate Environment (GHG Reduction)</v>
      </c>
      <c r="F85" s="16">
        <f>VLOOKUP($A85,'DB1'!$C:$Q,15,0)</f>
        <v>0</v>
      </c>
      <c r="G85" s="17">
        <f>VLOOKUP($A85,'DB1'!$C:$Q,9,0)</f>
        <v>45685</v>
      </c>
      <c r="H85" s="17">
        <f>VLOOKUP($A85,'DB1'!$C:$Q,10,0)</f>
        <v>45895</v>
      </c>
    </row>
    <row r="86" spans="1:8" ht="33">
      <c r="A86" t="str">
        <f>'DB1'!$C83</f>
        <v>2025-027(R)</v>
      </c>
      <c r="B86" s="16" t="str" cm="1">
        <f t="array" ref="B86">_xlfn.IFS(LEFT($A86,2)='DB2'!$G$43,'DB2'!$F$43,LEFT($A86,2)='DB2'!$G$44,'DB2'!$F$44,LEFT($A86,2)='DB2'!$H$44,'DB2'!$F$44,LEFT($A86,2)='DB2'!$I$44,'DB2'!$F$44,LEFT($A86,2)='DB2'!$J$44,'DB2'!$F$44,LEFT($A86,2)='DB2'!$G$45,'DB2'!$F$45,LEFT($A86,2)='DB2'!$G$46,'DB2'!$F$46,LEFT($A86,2)=LEFT('DB2'!$G$47,2),'DB2'!$F$47)</f>
        <v xml:space="preserve">Commissioned Research </v>
      </c>
      <c r="C86" s="16" t="str">
        <f>VLOOKUP($A86,'DB1'!$C:$Q,12,0)</f>
        <v>Developing Technologies for Assessing and Predicting the Impacts of Turbidity on Aquatic Ecosystems (Year 5)</v>
      </c>
      <c r="D86" s="12" t="str">
        <f>VLOOKUP($A86,'DB1'!$C:$Q,13,0)</f>
        <v>Choi, Mikyoung</v>
      </c>
      <c r="E86" s="16" t="str">
        <f>VLOOKUP($A86,'DB1'!$C:$Q,14,0)</f>
        <v>Water Management</v>
      </c>
      <c r="F86" s="16" t="str">
        <f>VLOOKUP($A86,'DB1'!$C:$Q,15,0)</f>
        <v>Ecology</v>
      </c>
      <c r="G86" s="17">
        <f>VLOOKUP($A86,'DB1'!$C:$Q,9,0)</f>
        <v>45658</v>
      </c>
      <c r="H86" s="17">
        <f>VLOOKUP($A86,'DB1'!$C:$Q,10,0)</f>
        <v>46022</v>
      </c>
    </row>
    <row r="87" spans="1:8" ht="33">
      <c r="A87" t="str">
        <f>'DB1'!$C84</f>
        <v>2025-028(R)</v>
      </c>
      <c r="B87" s="16" t="str" cm="1">
        <f t="array" ref="B87">_xlfn.IFS(LEFT($A87,2)='DB2'!$G$43,'DB2'!$F$43,LEFT($A87,2)='DB2'!$G$44,'DB2'!$F$44,LEFT($A87,2)='DB2'!$H$44,'DB2'!$F$44,LEFT($A87,2)='DB2'!$I$44,'DB2'!$F$44,LEFT($A87,2)='DB2'!$J$44,'DB2'!$F$44,LEFT($A87,2)='DB2'!$G$45,'DB2'!$F$45,LEFT($A87,2)='DB2'!$G$46,'DB2'!$F$46,LEFT($A87,2)=LEFT('DB2'!$G$47,2),'DB2'!$F$47)</f>
        <v xml:space="preserve">Commissioned Research </v>
      </c>
      <c r="C87" s="16" t="str">
        <f>VLOOKUP($A87,'DB1'!$C:$Q,12,0)</f>
        <v>Developing Technologies for Assessing Environmental Flow Vulnerability and Integrating Water Quality, Hydrology, and Aquatic Ecology Considering Watershed Environmental Changes (Year 6)</v>
      </c>
      <c r="D87" s="12" t="str">
        <f>VLOOKUP($A87,'DB1'!$C:$Q,13,0)</f>
        <v>Kang, Hyeongsik</v>
      </c>
      <c r="E87" s="16" t="str">
        <f>VLOOKUP($A87,'DB1'!$C:$Q,14,0)</f>
        <v>Water Management</v>
      </c>
      <c r="F87" s="16" t="str">
        <f>VLOOKUP($A87,'DB1'!$C:$Q,15,0)</f>
        <v>Ecology</v>
      </c>
      <c r="G87" s="17">
        <f>VLOOKUP($A87,'DB1'!$C:$Q,9,0)</f>
        <v>45658</v>
      </c>
      <c r="H87" s="17">
        <f>VLOOKUP($A87,'DB1'!$C:$Q,10,0)</f>
        <v>46022</v>
      </c>
    </row>
    <row r="88" spans="1:8" ht="33">
      <c r="A88" t="str">
        <f>'DB1'!$C85</f>
        <v>2025-029</v>
      </c>
      <c r="B88" s="16" t="str" cm="1">
        <f t="array" ref="B88">_xlfn.IFS(LEFT($A88,2)='DB2'!$G$43,'DB2'!$F$43,LEFT($A88,2)='DB2'!$G$44,'DB2'!$F$44,LEFT($A88,2)='DB2'!$H$44,'DB2'!$F$44,LEFT($A88,2)='DB2'!$I$44,'DB2'!$F$44,LEFT($A88,2)='DB2'!$J$44,'DB2'!$F$44,LEFT($A88,2)='DB2'!$G$45,'DB2'!$F$45,LEFT($A88,2)='DB2'!$G$46,'DB2'!$F$46,LEFT($A88,2)=LEFT('DB2'!$G$47,2),'DB2'!$F$47)</f>
        <v xml:space="preserve">Commissioned Research </v>
      </c>
      <c r="C88" s="16" t="str">
        <f>VLOOKUP($A88,'DB1'!$C:$Q,12,0)</f>
        <v>Developing a Tiered Environmental Impact Assessment System (Phase 2)</v>
      </c>
      <c r="D88" s="12" t="str">
        <f>VLOOKUP($A88,'DB1'!$C:$Q,13,0)</f>
        <v xml:space="preserve">Yang, Kyung </v>
      </c>
      <c r="E88" s="16" t="str">
        <f>VLOOKUP($A88,'DB1'!$C:$Q,14,0)</f>
        <v>Environmental Assessment</v>
      </c>
      <c r="F88" s="16">
        <f>VLOOKUP($A88,'DB1'!$C:$Q,15,0)</f>
        <v>0</v>
      </c>
      <c r="G88" s="17">
        <f>VLOOKUP($A88,'DB1'!$C:$Q,9,0)</f>
        <v>45705</v>
      </c>
      <c r="H88" s="17">
        <f>VLOOKUP($A88,'DB1'!$C:$Q,10,0)</f>
        <v>46003</v>
      </c>
    </row>
    <row r="89" spans="1:8" ht="33">
      <c r="A89" t="str">
        <f>'DB1'!$C86</f>
        <v>2025-030(R)</v>
      </c>
      <c r="B89" s="16" t="str" cm="1">
        <f t="array" ref="B89">_xlfn.IFS(LEFT($A89,2)='DB2'!$G$43,'DB2'!$F$43,LEFT($A89,2)='DB2'!$G$44,'DB2'!$F$44,LEFT($A89,2)='DB2'!$H$44,'DB2'!$F$44,LEFT($A89,2)='DB2'!$I$44,'DB2'!$F$44,LEFT($A89,2)='DB2'!$J$44,'DB2'!$F$44,LEFT($A89,2)='DB2'!$G$45,'DB2'!$F$45,LEFT($A89,2)='DB2'!$G$46,'DB2'!$F$46,LEFT($A89,2)=LEFT('DB2'!$G$47,2),'DB2'!$F$47)</f>
        <v xml:space="preserve">Commissioned Research </v>
      </c>
      <c r="C89" s="16" t="str">
        <f>VLOOKUP($A89,'DB1'!$C:$Q,12,0)</f>
        <v>Development of Core Technologies for Eco-Friendly Seawater-Based Energy Storage to Advance Leading Global Carbon-Neutral Cities (Year 4)</v>
      </c>
      <c r="D89" s="12" t="str">
        <f>VLOOKUP($A89,'DB1'!$C:$Q,13,0)</f>
        <v>Cho, Hanna</v>
      </c>
      <c r="E89" s="16" t="str">
        <f>VLOOKUP($A89,'DB1'!$C:$Q,14,0)</f>
        <v>Climate Environment (GHG Reduction)</v>
      </c>
      <c r="F89" s="16" t="str">
        <f>VLOOKUP($A89,'DB1'!$C:$Q,15,0)</f>
        <v>Marine Environment</v>
      </c>
      <c r="G89" s="17">
        <f>VLOOKUP($A89,'DB1'!$C:$Q,9,0)</f>
        <v>45658</v>
      </c>
      <c r="H89" s="17">
        <f>VLOOKUP($A89,'DB1'!$C:$Q,10,0)</f>
        <v>46022</v>
      </c>
    </row>
    <row r="90" spans="1:8" ht="33">
      <c r="A90" t="str">
        <f>'DB1'!$C87</f>
        <v>2025-031(R)</v>
      </c>
      <c r="B90" s="16" t="str" cm="1">
        <f t="array" ref="B90">_xlfn.IFS(LEFT($A90,2)='DB2'!$G$43,'DB2'!$F$43,LEFT($A90,2)='DB2'!$G$44,'DB2'!$F$44,LEFT($A90,2)='DB2'!$H$44,'DB2'!$F$44,LEFT($A90,2)='DB2'!$I$44,'DB2'!$F$44,LEFT($A90,2)='DB2'!$J$44,'DB2'!$F$44,LEFT($A90,2)='DB2'!$G$45,'DB2'!$F$45,LEFT($A90,2)='DB2'!$G$46,'DB2'!$F$46,LEFT($A90,2)=LEFT('DB2'!$G$47,2),'DB2'!$F$47)</f>
        <v xml:space="preserve">Commissioned Research </v>
      </c>
      <c r="C90" s="16" t="str">
        <f>VLOOKUP($A90,'DB1'!$C:$Q,12,0)</f>
        <v>Development of Technologies for Assessing Flood Safety of Longitudinal River Water Infrastructure Considering Physical Changes in River Environments (Year 2)</v>
      </c>
      <c r="D90" s="12" t="str">
        <f>VLOOKUP($A90,'DB1'!$C:$Q,13,0)</f>
        <v>Kang, Hyeongsik</v>
      </c>
      <c r="E90" s="16" t="str">
        <f>VLOOKUP($A90,'DB1'!$C:$Q,14,0)</f>
        <v>Water Management</v>
      </c>
      <c r="F90" s="16" t="str">
        <f>VLOOKUP($A90,'DB1'!$C:$Q,15,0)</f>
        <v>Climate Adaptation</v>
      </c>
      <c r="G90" s="17">
        <f>VLOOKUP($A90,'DB1'!$C:$Q,9,0)</f>
        <v>45658</v>
      </c>
      <c r="H90" s="17">
        <f>VLOOKUP($A90,'DB1'!$C:$Q,10,0)</f>
        <v>46022</v>
      </c>
    </row>
    <row r="91" spans="1:8" ht="33">
      <c r="A91" t="str">
        <f>'DB1'!$C88</f>
        <v>2025-032(R)</v>
      </c>
      <c r="B91" s="16" t="str" cm="1">
        <f t="array" ref="B91">_xlfn.IFS(LEFT($A91,2)='DB2'!$G$43,'DB2'!$F$43,LEFT($A91,2)='DB2'!$G$44,'DB2'!$F$44,LEFT($A91,2)='DB2'!$H$44,'DB2'!$F$44,LEFT($A91,2)='DB2'!$I$44,'DB2'!$F$44,LEFT($A91,2)='DB2'!$J$44,'DB2'!$F$44,LEFT($A91,2)='DB2'!$G$45,'DB2'!$F$45,LEFT($A91,2)='DB2'!$G$46,'DB2'!$F$46,LEFT($A91,2)=LEFT('DB2'!$G$47,2),'DB2'!$F$47)</f>
        <v xml:space="preserve">Commissioned Research </v>
      </c>
      <c r="C91" s="16" t="str">
        <f>VLOOKUP($A91,'DB1'!$C:$Q,12,0)</f>
        <v>Evaluation of Greenhouse Gas Reduction under the 2030 NDC in the Agriculture and Livestock Sector (Year 2)</v>
      </c>
      <c r="D91" s="12" t="str">
        <f>VLOOKUP($A91,'DB1'!$C:$Q,13,0)</f>
        <v>Myeong, Soojeong</v>
      </c>
      <c r="E91" s="16" t="str">
        <f>VLOOKUP($A91,'DB1'!$C:$Q,14,0)</f>
        <v>Climate Environment (GHG Reduction)</v>
      </c>
      <c r="F91" s="16">
        <f>VLOOKUP($A91,'DB1'!$C:$Q,15,0)</f>
        <v>0</v>
      </c>
      <c r="G91" s="17">
        <f>VLOOKUP($A91,'DB1'!$C:$Q,9,0)</f>
        <v>45658</v>
      </c>
      <c r="H91" s="17">
        <f>VLOOKUP($A91,'DB1'!$C:$Q,10,0)</f>
        <v>46022</v>
      </c>
    </row>
    <row r="92" spans="1:8" ht="33">
      <c r="A92" t="str">
        <f>'DB1'!$C89</f>
        <v>2025-033</v>
      </c>
      <c r="B92" s="16" t="str" cm="1">
        <f t="array" ref="B92">_xlfn.IFS(LEFT($A92,2)='DB2'!$G$43,'DB2'!$F$43,LEFT($A92,2)='DB2'!$G$44,'DB2'!$F$44,LEFT($A92,2)='DB2'!$H$44,'DB2'!$F$44,LEFT($A92,2)='DB2'!$I$44,'DB2'!$F$44,LEFT($A92,2)='DB2'!$J$44,'DB2'!$F$44,LEFT($A92,2)='DB2'!$G$45,'DB2'!$F$45,LEFT($A92,2)='DB2'!$G$46,'DB2'!$F$46,LEFT($A92,2)=LEFT('DB2'!$G$47,2),'DB2'!$F$47)</f>
        <v xml:space="preserve">Commissioned Research </v>
      </c>
      <c r="C92" s="16" t="str">
        <f>VLOOKUP($A92,'DB1'!$C:$Q,12,0)</f>
        <v>Developing Environmental Assessment Approaches for Zero-Carbon Power Sources</v>
      </c>
      <c r="D92" s="12" t="str">
        <f>VLOOKUP($A92,'DB1'!$C:$Q,13,0)</f>
        <v>Kim, Taeyun</v>
      </c>
      <c r="E92" s="16" t="str">
        <f>VLOOKUP($A92,'DB1'!$C:$Q,14,0)</f>
        <v>Environmental Assessment</v>
      </c>
      <c r="F92" s="16" t="str">
        <f>VLOOKUP($A92,'DB1'!$C:$Q,15,0)</f>
        <v>Climate Environment (GHG Reduction)</v>
      </c>
      <c r="G92" s="17">
        <f>VLOOKUP($A92,'DB1'!$C:$Q,9,0)</f>
        <v>45715</v>
      </c>
      <c r="H92" s="17">
        <f>VLOOKUP($A92,'DB1'!$C:$Q,10,0)</f>
        <v>46022</v>
      </c>
    </row>
    <row r="93" spans="1:8" ht="33">
      <c r="A93" t="str">
        <f>'DB1'!$C90</f>
        <v>2025-034</v>
      </c>
      <c r="B93" s="16" t="str" cm="1">
        <f t="array" ref="B93">_xlfn.IFS(LEFT($A93,2)='DB2'!$G$43,'DB2'!$F$43,LEFT($A93,2)='DB2'!$G$44,'DB2'!$F$44,LEFT($A93,2)='DB2'!$H$44,'DB2'!$F$44,LEFT($A93,2)='DB2'!$I$44,'DB2'!$F$44,LEFT($A93,2)='DB2'!$J$44,'DB2'!$F$44,LEFT($A93,2)='DB2'!$G$45,'DB2'!$F$45,LEFT($A93,2)='DB2'!$G$46,'DB2'!$F$46,LEFT($A93,2)=LEFT('DB2'!$G$47,2),'DB2'!$F$47)</f>
        <v xml:space="preserve">Commissioned Research </v>
      </c>
      <c r="C93" s="16" t="str">
        <f>VLOOKUP($A93,'DB1'!$C:$Q,12,0)</f>
        <v>Classification and Analysis of Electrical and Electronic Products to Promote the Eco-Assurance System (EcoAS)</v>
      </c>
      <c r="D93" s="12" t="str">
        <f>VLOOKUP($A93,'DB1'!$C:$Q,13,0)</f>
        <v xml:space="preserve">Yi, Sora </v>
      </c>
      <c r="E93" s="16" t="str">
        <f>VLOOKUP($A93,'DB1'!$C:$Q,14,0)</f>
        <v>Circular Economy</v>
      </c>
      <c r="F93" s="16">
        <f>VLOOKUP($A93,'DB1'!$C:$Q,15,0)</f>
        <v>0</v>
      </c>
      <c r="G93" s="17">
        <f>VLOOKUP($A93,'DB1'!$C:$Q,9,0)</f>
        <v>45712</v>
      </c>
      <c r="H93" s="17">
        <f>VLOOKUP($A93,'DB1'!$C:$Q,10,0)</f>
        <v>45982</v>
      </c>
    </row>
    <row r="94" spans="1:8" ht="33">
      <c r="A94" t="str">
        <f>'DB1'!$C91</f>
        <v>2025-035(R)</v>
      </c>
      <c r="B94" s="16" t="str" cm="1">
        <f t="array" ref="B94">_xlfn.IFS(LEFT($A94,2)='DB2'!$G$43,'DB2'!$F$43,LEFT($A94,2)='DB2'!$G$44,'DB2'!$F$44,LEFT($A94,2)='DB2'!$H$44,'DB2'!$F$44,LEFT($A94,2)='DB2'!$I$44,'DB2'!$F$44,LEFT($A94,2)='DB2'!$J$44,'DB2'!$F$44,LEFT($A94,2)='DB2'!$G$45,'DB2'!$F$45,LEFT($A94,2)='DB2'!$G$46,'DB2'!$F$46,LEFT($A94,2)=LEFT('DB2'!$G$47,2),'DB2'!$F$47)</f>
        <v xml:space="preserve">Commissioned Research </v>
      </c>
      <c r="C94" s="16" t="str">
        <f>VLOOKUP($A94,'DB1'!$C:$Q,12,0)</f>
        <v>Study on Developing a System for Flood Risk Evaluation and Expected Annual Damage based on Flood Damage Types (Year 3)</v>
      </c>
      <c r="D94" s="12" t="str">
        <f>VLOOKUP($A94,'DB1'!$C:$Q,13,0)</f>
        <v xml:space="preserve">Jung, Kichul </v>
      </c>
      <c r="E94" s="16" t="str">
        <f>VLOOKUP($A94,'DB1'!$C:$Q,14,0)</f>
        <v>Water Management</v>
      </c>
      <c r="F94" s="16" t="str">
        <f>VLOOKUP($A94,'DB1'!$C:$Q,15,0)</f>
        <v>Environmental Economics</v>
      </c>
      <c r="G94" s="17">
        <f>VLOOKUP($A94,'DB1'!$C:$Q,9,0)</f>
        <v>45717</v>
      </c>
      <c r="H94" s="17">
        <f>VLOOKUP($A94,'DB1'!$C:$Q,10,0)</f>
        <v>46081</v>
      </c>
    </row>
    <row r="95" spans="1:8" ht="33">
      <c r="A95" t="str">
        <f>'DB1'!$C92</f>
        <v>2025-036</v>
      </c>
      <c r="B95" s="16" t="str" cm="1">
        <f t="array" ref="B95">_xlfn.IFS(LEFT($A95,2)='DB2'!$G$43,'DB2'!$F$43,LEFT($A95,2)='DB2'!$G$44,'DB2'!$F$44,LEFT($A95,2)='DB2'!$H$44,'DB2'!$F$44,LEFT($A95,2)='DB2'!$I$44,'DB2'!$F$44,LEFT($A95,2)='DB2'!$J$44,'DB2'!$F$44,LEFT($A95,2)='DB2'!$G$45,'DB2'!$F$45,LEFT($A95,2)='DB2'!$G$46,'DB2'!$F$46,LEFT($A95,2)=LEFT('DB2'!$G$47,2),'DB2'!$F$47)</f>
        <v xml:space="preserve">Commissioned Research </v>
      </c>
      <c r="C95" s="16" t="str">
        <f>VLOOKUP($A95,'DB1'!$C:$Q,12,0)</f>
        <v>Study for Revalidation and Expansion of the Jeonbuk West Coast UNESCO Global Geopark</v>
      </c>
      <c r="D95" s="12" t="str">
        <f>VLOOKUP($A95,'DB1'!$C:$Q,13,0)</f>
        <v>Lee, Soojae</v>
      </c>
      <c r="E95" s="16" t="str">
        <f>VLOOKUP($A95,'DB1'!$C:$Q,14,0)</f>
        <v>Ecology</v>
      </c>
      <c r="F95" s="16" t="str">
        <f>VLOOKUP($A95,'DB1'!$C:$Q,15,0)</f>
        <v>Land management and environment</v>
      </c>
      <c r="G95" s="17">
        <f>VLOOKUP($A95,'DB1'!$C:$Q,9,0)</f>
        <v>45730</v>
      </c>
      <c r="H95" s="17">
        <f>VLOOKUP($A95,'DB1'!$C:$Q,10,0)</f>
        <v>46389</v>
      </c>
    </row>
    <row r="96" spans="1:8" ht="33">
      <c r="A96" t="str">
        <f>'DB1'!$C93</f>
        <v>2025-037</v>
      </c>
      <c r="B96" s="16" t="str" cm="1">
        <f t="array" ref="B96">_xlfn.IFS(LEFT($A96,2)='DB2'!$G$43,'DB2'!$F$43,LEFT($A96,2)='DB2'!$G$44,'DB2'!$F$44,LEFT($A96,2)='DB2'!$H$44,'DB2'!$F$44,LEFT($A96,2)='DB2'!$I$44,'DB2'!$F$44,LEFT($A96,2)='DB2'!$J$44,'DB2'!$F$44,LEFT($A96,2)='DB2'!$G$45,'DB2'!$F$45,LEFT($A96,2)='DB2'!$G$46,'DB2'!$F$46,LEFT($A96,2)=LEFT('DB2'!$G$47,2),'DB2'!$F$47)</f>
        <v xml:space="preserve">Commissioned Research </v>
      </c>
      <c r="C96" s="16" t="str">
        <f>VLOOKUP($A96,'DB1'!$C:$Q,12,0)</f>
        <v>Study on the Formulation of the Fifth Comprehensive Noise and Vibration Management Plan</v>
      </c>
      <c r="D96" s="12" t="str">
        <f>VLOOKUP($A96,'DB1'!$C:$Q,13,0)</f>
        <v>Park, Taeho</v>
      </c>
      <c r="E96" s="16" t="str">
        <f>VLOOKUP($A96,'DB1'!$C:$Q,14,0)</f>
        <v>Noise and Vibration Impacts</v>
      </c>
      <c r="F96" s="16">
        <f>VLOOKUP($A96,'DB1'!$C:$Q,15,0)</f>
        <v>0</v>
      </c>
      <c r="G96" s="17">
        <f>VLOOKUP($A96,'DB1'!$C:$Q,9,0)</f>
        <v>45723</v>
      </c>
      <c r="H96" s="17">
        <f>VLOOKUP($A96,'DB1'!$C:$Q,10,0)</f>
        <v>46006</v>
      </c>
    </row>
    <row r="97" spans="1:8" ht="33">
      <c r="A97" t="str">
        <f>'DB1'!$C94</f>
        <v>2025-038</v>
      </c>
      <c r="B97" s="16" t="str" cm="1">
        <f t="array" ref="B97">_xlfn.IFS(LEFT($A97,2)='DB2'!$G$43,'DB2'!$F$43,LEFT($A97,2)='DB2'!$G$44,'DB2'!$F$44,LEFT($A97,2)='DB2'!$H$44,'DB2'!$F$44,LEFT($A97,2)='DB2'!$I$44,'DB2'!$F$44,LEFT($A97,2)='DB2'!$J$44,'DB2'!$F$44,LEFT($A97,2)='DB2'!$G$45,'DB2'!$F$45,LEFT($A97,2)='DB2'!$G$46,'DB2'!$F$46,LEFT($A97,2)=LEFT('DB2'!$G$47,2),'DB2'!$F$47)</f>
        <v xml:space="preserve">Commissioned Research </v>
      </c>
      <c r="C97" s="16" t="str">
        <f>VLOOKUP($A97,'DB1'!$C:$Q,12,0)</f>
        <v>Advancing Integrated Management of Land and Environmental Planning and Operating Pilot Projects</v>
      </c>
      <c r="D97" s="12" t="str">
        <f>VLOOKUP($A97,'DB1'!$C:$Q,13,0)</f>
        <v xml:space="preserve">Song, Jiyoon </v>
      </c>
      <c r="E97" s="16" t="str">
        <f>VLOOKUP($A97,'DB1'!$C:$Q,14,0)</f>
        <v>Land Management and Environment</v>
      </c>
      <c r="F97" s="16">
        <f>VLOOKUP($A97,'DB1'!$C:$Q,15,0)</f>
        <v>0</v>
      </c>
      <c r="G97" s="17">
        <f>VLOOKUP($A97,'DB1'!$C:$Q,9,0)</f>
        <v>45723</v>
      </c>
      <c r="H97" s="17">
        <f>VLOOKUP($A97,'DB1'!$C:$Q,10,0)</f>
        <v>46022</v>
      </c>
    </row>
    <row r="98" spans="1:8" ht="33">
      <c r="A98" t="str">
        <f>'DB1'!$C95</f>
        <v>2025-039</v>
      </c>
      <c r="B98" s="16" t="str" cm="1">
        <f t="array" ref="B98">_xlfn.IFS(LEFT($A98,2)='DB2'!$G$43,'DB2'!$F$43,LEFT($A98,2)='DB2'!$G$44,'DB2'!$F$44,LEFT($A98,2)='DB2'!$H$44,'DB2'!$F$44,LEFT($A98,2)='DB2'!$I$44,'DB2'!$F$44,LEFT($A98,2)='DB2'!$J$44,'DB2'!$F$44,LEFT($A98,2)='DB2'!$G$45,'DB2'!$F$45,LEFT($A98,2)='DB2'!$G$46,'DB2'!$F$46,LEFT($A98,2)=LEFT('DB2'!$G$47,2),'DB2'!$F$47)</f>
        <v xml:space="preserve">Commissioned Research </v>
      </c>
      <c r="C98" s="16" t="str">
        <f>VLOOKUP($A98,'DB1'!$C:$Q,12,0)</f>
        <v>Evaluating the Outcomes of Special Local Transfers of Consultation Authority (EIA and Landscape Consultation Sectors)</v>
      </c>
      <c r="D98" s="12" t="str">
        <f>VLOOKUP($A98,'DB1'!$C:$Q,13,0)</f>
        <v>Lee, Sangyun</v>
      </c>
      <c r="E98" s="16" t="str">
        <f>VLOOKUP($A98,'DB1'!$C:$Q,14,0)</f>
        <v>Environmental Assessment</v>
      </c>
      <c r="F98" s="16">
        <f>VLOOKUP($A98,'DB1'!$C:$Q,15,0)</f>
        <v>0</v>
      </c>
      <c r="G98" s="17">
        <f>VLOOKUP($A98,'DB1'!$C:$Q,9,0)</f>
        <v>45726</v>
      </c>
      <c r="H98" s="17">
        <f>VLOOKUP($A98,'DB1'!$C:$Q,10,0)</f>
        <v>45995</v>
      </c>
    </row>
    <row r="99" spans="1:8" ht="33">
      <c r="A99" t="str">
        <f>'DB1'!$C96</f>
        <v>2025-040</v>
      </c>
      <c r="B99" s="16" t="str" cm="1">
        <f t="array" ref="B99">_xlfn.IFS(LEFT($A99,2)='DB2'!$G$43,'DB2'!$F$43,LEFT($A99,2)='DB2'!$G$44,'DB2'!$F$44,LEFT($A99,2)='DB2'!$H$44,'DB2'!$F$44,LEFT($A99,2)='DB2'!$I$44,'DB2'!$F$44,LEFT($A99,2)='DB2'!$J$44,'DB2'!$F$44,LEFT($A99,2)='DB2'!$G$45,'DB2'!$F$45,LEFT($A99,2)='DB2'!$G$46,'DB2'!$F$46,LEFT($A99,2)=LEFT('DB2'!$G$47,2),'DB2'!$F$47)</f>
        <v xml:space="preserve">Commissioned Research </v>
      </c>
      <c r="C99" s="16" t="str">
        <f>VLOOKUP($A99,'DB1'!$C:$Q,12,0)</f>
        <v>Developing a National Candidate Site List for Green Restoration (Year 3)</v>
      </c>
      <c r="D99" s="12" t="str">
        <f>VLOOKUP($A99,'DB1'!$C:$Q,13,0)</f>
        <v>Son, Seungwoo</v>
      </c>
      <c r="E99" s="16" t="str">
        <f>VLOOKUP($A99,'DB1'!$C:$Q,14,0)</f>
        <v>Land Management and Environment</v>
      </c>
      <c r="F99" s="16" t="str">
        <f>VLOOKUP($A99,'DB1'!$C:$Q,15,0)</f>
        <v>Ecology</v>
      </c>
      <c r="G99" s="17">
        <f>VLOOKUP($A99,'DB1'!$C:$Q,9,0)</f>
        <v>45722</v>
      </c>
      <c r="H99" s="17">
        <f>VLOOKUP($A99,'DB1'!$C:$Q,10,0)</f>
        <v>46086</v>
      </c>
    </row>
    <row r="100" spans="1:8" ht="33">
      <c r="A100" t="str">
        <f>'DB1'!$C97</f>
        <v>2025-041</v>
      </c>
      <c r="B100" s="16" t="str" cm="1">
        <f t="array" ref="B100">_xlfn.IFS(LEFT($A100,2)='DB2'!$G$43,'DB2'!$F$43,LEFT($A100,2)='DB2'!$G$44,'DB2'!$F$44,LEFT($A100,2)='DB2'!$H$44,'DB2'!$F$44,LEFT($A100,2)='DB2'!$I$44,'DB2'!$F$44,LEFT($A100,2)='DB2'!$J$44,'DB2'!$F$44,LEFT($A100,2)='DB2'!$G$45,'DB2'!$F$45,LEFT($A100,2)='DB2'!$G$46,'DB2'!$F$46,LEFT($A100,2)=LEFT('DB2'!$G$47,2),'DB2'!$F$47)</f>
        <v xml:space="preserve">Commissioned Research </v>
      </c>
      <c r="C100" s="16" t="str">
        <f>VLOOKUP($A100,'DB1'!$C:$Q,12,0)</f>
        <v>Developing Management Approaches for Lighting Outside the Scope of the Light Pollution Prevention Act</v>
      </c>
      <c r="D100" s="12" t="str">
        <f>VLOOKUP($A100,'DB1'!$C:$Q,13,0)</f>
        <v>Lee, Sangbum</v>
      </c>
      <c r="E100" s="16" t="str">
        <f>VLOOKUP($A100,'DB1'!$C:$Q,14,0)</f>
        <v>Noise and Vibration Impacts</v>
      </c>
      <c r="F100" s="16" t="str">
        <f>VLOOKUP($A100,'DB1'!$C:$Q,15,0)</f>
        <v>Environmental Assessment</v>
      </c>
      <c r="G100" s="17">
        <f>VLOOKUP($A100,'DB1'!$C:$Q,9,0)</f>
        <v>45727</v>
      </c>
      <c r="H100" s="17">
        <f>VLOOKUP($A100,'DB1'!$C:$Q,10,0)</f>
        <v>45989</v>
      </c>
    </row>
    <row r="101" spans="1:8" ht="33">
      <c r="A101" t="str">
        <f>'DB1'!$C98</f>
        <v>2025-042(R)</v>
      </c>
      <c r="B101" s="16" t="str" cm="1">
        <f t="array" ref="B101">_xlfn.IFS(LEFT($A101,2)='DB2'!$G$43,'DB2'!$F$43,LEFT($A101,2)='DB2'!$G$44,'DB2'!$F$44,LEFT($A101,2)='DB2'!$H$44,'DB2'!$F$44,LEFT($A101,2)='DB2'!$I$44,'DB2'!$F$44,LEFT($A101,2)='DB2'!$J$44,'DB2'!$F$44,LEFT($A101,2)='DB2'!$G$45,'DB2'!$F$45,LEFT($A101,2)='DB2'!$G$46,'DB2'!$F$46,LEFT($A101,2)=LEFT('DB2'!$G$47,2),'DB2'!$F$47)</f>
        <v xml:space="preserve">Commissioned Research </v>
      </c>
      <c r="C101" s="16" t="str">
        <f>VLOOKUP($A101,'DB1'!$C:$Q,12,0)</f>
        <v>Resilience Assessment of Biodiversity Using Bigdata and Intelligent Technology (RABBIT) (Year 5)</v>
      </c>
      <c r="D101" s="12" t="str">
        <f>VLOOKUP($A101,'DB1'!$C:$Q,13,0)</f>
        <v>Choi, Yuyoung</v>
      </c>
      <c r="E101" s="16" t="str">
        <f>VLOOKUP($A101,'DB1'!$C:$Q,14,0)</f>
        <v>Environmental Informatics</v>
      </c>
      <c r="F101" s="16" t="str">
        <f>VLOOKUP($A101,'DB1'!$C:$Q,15,0)</f>
        <v>Ecology</v>
      </c>
      <c r="G101" s="17">
        <f>VLOOKUP($A101,'DB1'!$C:$Q,9,0)</f>
        <v>45717</v>
      </c>
      <c r="H101" s="17">
        <f>VLOOKUP($A101,'DB1'!$C:$Q,10,0)</f>
        <v>46535</v>
      </c>
    </row>
    <row r="102" spans="1:8" ht="33">
      <c r="A102" t="str">
        <f>'DB1'!$C99</f>
        <v>2025-043</v>
      </c>
      <c r="B102" s="16" t="str" cm="1">
        <f t="array" ref="B102">_xlfn.IFS(LEFT($A102,2)='DB2'!$G$43,'DB2'!$F$43,LEFT($A102,2)='DB2'!$G$44,'DB2'!$F$44,LEFT($A102,2)='DB2'!$H$44,'DB2'!$F$44,LEFT($A102,2)='DB2'!$I$44,'DB2'!$F$44,LEFT($A102,2)='DB2'!$J$44,'DB2'!$F$44,LEFT($A102,2)='DB2'!$G$45,'DB2'!$F$45,LEFT($A102,2)='DB2'!$G$46,'DB2'!$F$46,LEFT($A102,2)=LEFT('DB2'!$G$47,2),'DB2'!$F$47)</f>
        <v xml:space="preserve">Commissioned Research </v>
      </c>
      <c r="C102" s="16" t="str">
        <f>VLOOKUP($A102,'DB1'!$C:$Q,12,0)</f>
        <v>Evaluating the Outcomes of Special Local Transfers of Consultation Authority (Climate Change Impact Assessment Sector)</v>
      </c>
      <c r="D102" s="12" t="str">
        <f>VLOOKUP($A102,'DB1'!$C:$Q,13,0)</f>
        <v>Lee, Sangyun</v>
      </c>
      <c r="E102" s="16" t="str">
        <f>VLOOKUP($A102,'DB1'!$C:$Q,14,0)</f>
        <v>Environmental Assessment</v>
      </c>
      <c r="F102" s="16">
        <f>VLOOKUP($A102,'DB1'!$C:$Q,15,0)</f>
        <v>0</v>
      </c>
      <c r="G102" s="17">
        <f>VLOOKUP($A102,'DB1'!$C:$Q,9,0)</f>
        <v>45729</v>
      </c>
      <c r="H102" s="17">
        <f>VLOOKUP($A102,'DB1'!$C:$Q,10,0)</f>
        <v>45998</v>
      </c>
    </row>
    <row r="103" spans="1:8" ht="33">
      <c r="A103" t="str">
        <f>'DB1'!$C100</f>
        <v>2025-044</v>
      </c>
      <c r="B103" s="16" t="str" cm="1">
        <f t="array" ref="B103">_xlfn.IFS(LEFT($A103,2)='DB2'!$G$43,'DB2'!$F$43,LEFT($A103,2)='DB2'!$G$44,'DB2'!$F$44,LEFT($A103,2)='DB2'!$H$44,'DB2'!$F$44,LEFT($A103,2)='DB2'!$I$44,'DB2'!$F$44,LEFT($A103,2)='DB2'!$J$44,'DB2'!$F$44,LEFT($A103,2)='DB2'!$G$45,'DB2'!$F$45,LEFT($A103,2)='DB2'!$G$46,'DB2'!$F$46,LEFT($A103,2)=LEFT('DB2'!$G$47,2),'DB2'!$F$47)</f>
        <v xml:space="preserve">Commissioned Research </v>
      </c>
      <c r="C103" s="16" t="str">
        <f>VLOOKUP($A103,'DB1'!$C:$Q,12,0)</f>
        <v>Study on the Effects of BM-Based Pre-Allocation in the Power Sector</v>
      </c>
      <c r="D103" s="12" t="str">
        <f>VLOOKUP($A103,'DB1'!$C:$Q,13,0)</f>
        <v>Choi, Hyungsik</v>
      </c>
      <c r="E103" s="16" t="str">
        <f>VLOOKUP($A103,'DB1'!$C:$Q,14,0)</f>
        <v>Climate Environment (GHG Reduction)</v>
      </c>
      <c r="F103" s="16" t="str">
        <f>VLOOKUP($A103,'DB1'!$C:$Q,15,0)</f>
        <v>Environmental Economics</v>
      </c>
      <c r="G103" s="17">
        <f>VLOOKUP($A103,'DB1'!$C:$Q,9,0)</f>
        <v>45730</v>
      </c>
      <c r="H103" s="17">
        <f>VLOOKUP($A103,'DB1'!$C:$Q,10,0)</f>
        <v>45970</v>
      </c>
    </row>
    <row r="104" spans="1:8" ht="33">
      <c r="A104" t="str">
        <f>'DB1'!$C101</f>
        <v>2025-045</v>
      </c>
      <c r="B104" s="16" t="str" cm="1">
        <f t="array" ref="B104">_xlfn.IFS(LEFT($A104,2)='DB2'!$G$43,'DB2'!$F$43,LEFT($A104,2)='DB2'!$G$44,'DB2'!$F$44,LEFT($A104,2)='DB2'!$H$44,'DB2'!$F$44,LEFT($A104,2)='DB2'!$I$44,'DB2'!$F$44,LEFT($A104,2)='DB2'!$J$44,'DB2'!$F$44,LEFT($A104,2)='DB2'!$G$45,'DB2'!$F$45,LEFT($A104,2)='DB2'!$G$46,'DB2'!$F$46,LEFT($A104,2)=LEFT('DB2'!$G$47,2),'DB2'!$F$47)</f>
        <v xml:space="preserve">Commissioned Research </v>
      </c>
      <c r="C104" s="16" t="str">
        <f>VLOOKUP($A104,'DB1'!$C:$Q,12,0)</f>
        <v>Indicator Development for Assessing the Implementation of the National Biodiversity Strategy (Year 2)</v>
      </c>
      <c r="D104" s="12" t="str">
        <f>VLOOKUP($A104,'DB1'!$C:$Q,13,0)</f>
        <v xml:space="preserve">Koo, Kyung Ah </v>
      </c>
      <c r="E104" s="16" t="str">
        <f>VLOOKUP($A104,'DB1'!$C:$Q,14,0)</f>
        <v>Ecology</v>
      </c>
      <c r="F104" s="16">
        <f>VLOOKUP($A104,'DB1'!$C:$Q,15,0)</f>
        <v>0</v>
      </c>
      <c r="G104" s="17">
        <f>VLOOKUP($A104,'DB1'!$C:$Q,9,0)</f>
        <v>45734</v>
      </c>
      <c r="H104" s="17">
        <f>VLOOKUP($A104,'DB1'!$C:$Q,10,0)</f>
        <v>45991</v>
      </c>
    </row>
    <row r="105" spans="1:8" ht="33">
      <c r="A105" t="str">
        <f>'DB1'!$C102</f>
        <v>2025-046</v>
      </c>
      <c r="B105" s="16" t="str" cm="1">
        <f t="array" ref="B105">_xlfn.IFS(LEFT($A105,2)='DB2'!$G$43,'DB2'!$F$43,LEFT($A105,2)='DB2'!$G$44,'DB2'!$F$44,LEFT($A105,2)='DB2'!$H$44,'DB2'!$F$44,LEFT($A105,2)='DB2'!$I$44,'DB2'!$F$44,LEFT($A105,2)='DB2'!$J$44,'DB2'!$F$44,LEFT($A105,2)='DB2'!$G$45,'DB2'!$F$45,LEFT($A105,2)='DB2'!$G$46,'DB2'!$F$46,LEFT($A105,2)=LEFT('DB2'!$G$47,2),'DB2'!$F$47)</f>
        <v xml:space="preserve">Commissioned Research </v>
      </c>
      <c r="C105" s="16" t="str">
        <f>VLOOKUP($A105,'DB1'!$C:$Q,12,0)</f>
        <v>Pilot Compilation of Environmental Goods and Services Sector Accounts</v>
      </c>
      <c r="D105" s="12" t="str">
        <f>VLOOKUP($A105,'DB1'!$C:$Q,13,0)</f>
        <v>Kim, Jongho</v>
      </c>
      <c r="E105" s="16" t="str">
        <f>VLOOKUP($A105,'DB1'!$C:$Q,14,0)</f>
        <v>Environmental Economics</v>
      </c>
      <c r="F105" s="16" t="str">
        <f>VLOOKUP($A105,'DB1'!$C:$Q,15,0)</f>
        <v>Environmental Informatics</v>
      </c>
      <c r="G105" s="17">
        <f>VLOOKUP($A105,'DB1'!$C:$Q,9,0)</f>
        <v>45747</v>
      </c>
      <c r="H105" s="17">
        <f>VLOOKUP($A105,'DB1'!$C:$Q,10,0)</f>
        <v>46022</v>
      </c>
    </row>
    <row r="106" spans="1:8" ht="33">
      <c r="A106" t="str">
        <f>'DB1'!$C103</f>
        <v>2025-047</v>
      </c>
      <c r="B106" s="16" t="str" cm="1">
        <f t="array" ref="B106">_xlfn.IFS(LEFT($A106,2)='DB2'!$G$43,'DB2'!$F$43,LEFT($A106,2)='DB2'!$G$44,'DB2'!$F$44,LEFT($A106,2)='DB2'!$H$44,'DB2'!$F$44,LEFT($A106,2)='DB2'!$I$44,'DB2'!$F$44,LEFT($A106,2)='DB2'!$J$44,'DB2'!$F$44,LEFT($A106,2)='DB2'!$G$45,'DB2'!$F$45,LEFT($A106,2)='DB2'!$G$46,'DB2'!$F$46,LEFT($A106,2)=LEFT('DB2'!$G$47,2),'DB2'!$F$47)</f>
        <v xml:space="preserve">Commissioned Research </v>
      </c>
      <c r="C106" s="16" t="str">
        <f>VLOOKUP($A106,'DB1'!$C:$Q,12,0)</f>
        <v>Strengthening Airport Bird Strike Prevention and Management to Balance Avian Conservation and Aviation Safety</v>
      </c>
      <c r="D106" s="12" t="str">
        <f>VLOOKUP($A106,'DB1'!$C:$Q,13,0)</f>
        <v>Lee, Who-Seung</v>
      </c>
      <c r="E106" s="16" t="str">
        <f>VLOOKUP($A106,'DB1'!$C:$Q,14,0)</f>
        <v>Ecology</v>
      </c>
      <c r="F106" s="16" t="str">
        <f>VLOOKUP($A106,'DB1'!$C:$Q,15,0)</f>
        <v>Land Management and Environment</v>
      </c>
      <c r="G106" s="17">
        <f>VLOOKUP($A106,'DB1'!$C:$Q,9,0)</f>
        <v>45748</v>
      </c>
      <c r="H106" s="17">
        <f>VLOOKUP($A106,'DB1'!$C:$Q,10,0)</f>
        <v>45927</v>
      </c>
    </row>
    <row r="107" spans="1:8" ht="33">
      <c r="A107" t="str">
        <f>'DB1'!$C104</f>
        <v>2025-048</v>
      </c>
      <c r="B107" s="16" t="str" cm="1">
        <f t="array" ref="B107">_xlfn.IFS(LEFT($A107,2)='DB2'!$G$43,'DB2'!$F$43,LEFT($A107,2)='DB2'!$G$44,'DB2'!$F$44,LEFT($A107,2)='DB2'!$H$44,'DB2'!$F$44,LEFT($A107,2)='DB2'!$I$44,'DB2'!$F$44,LEFT($A107,2)='DB2'!$J$44,'DB2'!$F$44,LEFT($A107,2)='DB2'!$G$45,'DB2'!$F$45,LEFT($A107,2)='DB2'!$G$46,'DB2'!$F$46,LEFT($A107,2)=LEFT('DB2'!$G$47,2),'DB2'!$F$47)</f>
        <v xml:space="preserve">Commissioned Research </v>
      </c>
      <c r="C107" s="16" t="str">
        <f>VLOOKUP($A107,'DB1'!$C:$Q,12,0)</f>
        <v>Digital Standardization of Preparatory Documents for EIA</v>
      </c>
      <c r="D107" s="12" t="str">
        <f>VLOOKUP($A107,'DB1'!$C:$Q,13,0)</f>
        <v>Ji, Min-Kyu</v>
      </c>
      <c r="E107" s="16" t="str">
        <f>VLOOKUP($A107,'DB1'!$C:$Q,14,0)</f>
        <v>Environmental Assessment</v>
      </c>
      <c r="F107" s="16" t="str">
        <f>VLOOKUP($A107,'DB1'!$C:$Q,15,0)</f>
        <v>Environmental Informatics</v>
      </c>
      <c r="G107" s="17">
        <f>VLOOKUP($A107,'DB1'!$C:$Q,9,0)</f>
        <v>45748</v>
      </c>
      <c r="H107" s="17">
        <f>VLOOKUP($A107,'DB1'!$C:$Q,10,0)</f>
        <v>45987</v>
      </c>
    </row>
    <row r="108" spans="1:8" ht="33">
      <c r="A108" t="str">
        <f>'DB1'!$C105</f>
        <v>2025-049</v>
      </c>
      <c r="B108" s="16" t="str" cm="1">
        <f t="array" ref="B108">_xlfn.IFS(LEFT($A108,2)='DB2'!$G$43,'DB2'!$F$43,LEFT($A108,2)='DB2'!$G$44,'DB2'!$F$44,LEFT($A108,2)='DB2'!$H$44,'DB2'!$F$44,LEFT($A108,2)='DB2'!$I$44,'DB2'!$F$44,LEFT($A108,2)='DB2'!$J$44,'DB2'!$F$44,LEFT($A108,2)='DB2'!$G$45,'DB2'!$F$45,LEFT($A108,2)='DB2'!$G$46,'DB2'!$F$46,LEFT($A108,2)=LEFT('DB2'!$G$47,2),'DB2'!$F$47)</f>
        <v xml:space="preserve">Commissioned Research </v>
      </c>
      <c r="C108" s="16" t="str">
        <f>VLOOKUP($A108,'DB1'!$C:$Q,12,0)</f>
        <v>Establishing an Approval System for Local Government Environmental Plans</v>
      </c>
      <c r="D108" s="12" t="str">
        <f>VLOOKUP($A108,'DB1'!$C:$Q,13,0)</f>
        <v>공동과책 확인</v>
      </c>
      <c r="E108" s="16" t="str">
        <f>VLOOKUP($A108,'DB1'!$C:$Q,14,0)</f>
        <v>Land Management and Environment</v>
      </c>
      <c r="F108" s="16">
        <f>VLOOKUP($A108,'DB1'!$C:$Q,15,0)</f>
        <v>0</v>
      </c>
      <c r="G108" s="17">
        <f>VLOOKUP($A108,'DB1'!$C:$Q,9,0)</f>
        <v>45751</v>
      </c>
      <c r="H108" s="17">
        <f>VLOOKUP($A108,'DB1'!$C:$Q,10,0)</f>
        <v>45991</v>
      </c>
    </row>
    <row r="109" spans="1:8" ht="33">
      <c r="A109" t="str">
        <f>'DB1'!$C106</f>
        <v>2025-050</v>
      </c>
      <c r="B109" s="16" t="str" cm="1">
        <f t="array" ref="B109">_xlfn.IFS(LEFT($A109,2)='DB2'!$G$43,'DB2'!$F$43,LEFT($A109,2)='DB2'!$G$44,'DB2'!$F$44,LEFT($A109,2)='DB2'!$H$44,'DB2'!$F$44,LEFT($A109,2)='DB2'!$I$44,'DB2'!$F$44,LEFT($A109,2)='DB2'!$J$44,'DB2'!$F$44,LEFT($A109,2)='DB2'!$G$45,'DB2'!$F$45,LEFT($A109,2)='DB2'!$G$46,'DB2'!$F$46,LEFT($A109,2)=LEFT('DB2'!$G$47,2),'DB2'!$F$47)</f>
        <v xml:space="preserve">Commissioned Research </v>
      </c>
      <c r="C109" s="16" t="str">
        <f>VLOOKUP($A109,'DB1'!$C:$Q,12,0)</f>
        <v>Final Evaluation of the First Comprehensive Plan for Fine Dust Management and Development of the Evaluation Framework for the Second Plan</v>
      </c>
      <c r="D109" s="12" t="str">
        <f>VLOOKUP($A109,'DB1'!$C:$Q,13,0)</f>
        <v xml:space="preserve">Han, Jihyun </v>
      </c>
      <c r="E109" s="16" t="str">
        <f>VLOOKUP($A109,'DB1'!$C:$Q,14,0)</f>
        <v>Atmospheric Environment</v>
      </c>
      <c r="F109" s="16">
        <f>VLOOKUP($A109,'DB1'!$C:$Q,15,0)</f>
        <v>0</v>
      </c>
      <c r="G109" s="17">
        <f>VLOOKUP($A109,'DB1'!$C:$Q,9,0)</f>
        <v>45751</v>
      </c>
      <c r="H109" s="17">
        <f>VLOOKUP($A109,'DB1'!$C:$Q,10,0)</f>
        <v>46010</v>
      </c>
    </row>
    <row r="110" spans="1:8" ht="33">
      <c r="A110" t="str">
        <f>'DB1'!$C107</f>
        <v>2025-051</v>
      </c>
      <c r="B110" s="16" t="str" cm="1">
        <f t="array" ref="B110">_xlfn.IFS(LEFT($A110,2)='DB2'!$G$43,'DB2'!$F$43,LEFT($A110,2)='DB2'!$G$44,'DB2'!$F$44,LEFT($A110,2)='DB2'!$H$44,'DB2'!$F$44,LEFT($A110,2)='DB2'!$I$44,'DB2'!$F$44,LEFT($A110,2)='DB2'!$J$44,'DB2'!$F$44,LEFT($A110,2)='DB2'!$G$45,'DB2'!$F$45,LEFT($A110,2)='DB2'!$G$46,'DB2'!$F$46,LEFT($A110,2)=LEFT('DB2'!$G$47,2),'DB2'!$F$47)</f>
        <v xml:space="preserve">Commissioned Research </v>
      </c>
      <c r="C110" s="16" t="str">
        <f>VLOOKUP($A110,'DB1'!$C:$Q,12,0)</f>
        <v>Study on Collective Settlement Regarding Humidifier Disinfectants</v>
      </c>
      <c r="D110" s="12" t="str">
        <f>VLOOKUP($A110,'DB1'!$C:$Q,13,0)</f>
        <v>Suh, Yang-won</v>
      </c>
      <c r="E110" s="16" t="str">
        <f>VLOOKUP($A110,'DB1'!$C:$Q,14,0)</f>
        <v>Environmental Health</v>
      </c>
      <c r="F110" s="16" t="str">
        <f>VLOOKUP($A110,'DB1'!$C:$Q,15,0)</f>
        <v>Socio-Environmental Interface</v>
      </c>
      <c r="G110" s="17">
        <f>VLOOKUP($A110,'DB1'!$C:$Q,9,0)</f>
        <v>45755</v>
      </c>
      <c r="H110" s="17">
        <f>VLOOKUP($A110,'DB1'!$C:$Q,10,0)</f>
        <v>46056</v>
      </c>
    </row>
    <row r="111" spans="1:8" ht="33">
      <c r="A111" t="str">
        <f>'DB1'!$C108</f>
        <v>2025-052</v>
      </c>
      <c r="B111" s="16" t="str" cm="1">
        <f t="array" ref="B111">_xlfn.IFS(LEFT($A111,2)='DB2'!$G$43,'DB2'!$F$43,LEFT($A111,2)='DB2'!$G$44,'DB2'!$F$44,LEFT($A111,2)='DB2'!$H$44,'DB2'!$F$44,LEFT($A111,2)='DB2'!$I$44,'DB2'!$F$44,LEFT($A111,2)='DB2'!$J$44,'DB2'!$F$44,LEFT($A111,2)='DB2'!$G$45,'DB2'!$F$45,LEFT($A111,2)='DB2'!$G$46,'DB2'!$F$46,LEFT($A111,2)=LEFT('DB2'!$G$47,2),'DB2'!$F$47)</f>
        <v xml:space="preserve">Commissioned Research </v>
      </c>
      <c r="C111" s="16" t="str">
        <f>VLOOKUP($A111,'DB1'!$C:$Q,12,0)</f>
        <v xml:space="preserve">Performance Evaluation of the Air Quality Control Master Plan in Four Air Control Zones </v>
      </c>
      <c r="D111" s="12" t="str">
        <f>VLOOKUP($A111,'DB1'!$C:$Q,13,0)</f>
        <v>Lee, Seungmin</v>
      </c>
      <c r="E111" s="16" t="str">
        <f>VLOOKUP($A111,'DB1'!$C:$Q,14,0)</f>
        <v>Atmospheric Environment</v>
      </c>
      <c r="F111" s="16">
        <f>VLOOKUP($A111,'DB1'!$C:$Q,15,0)</f>
        <v>0</v>
      </c>
      <c r="G111" s="17">
        <f>VLOOKUP($A111,'DB1'!$C:$Q,9,0)</f>
        <v>45755</v>
      </c>
      <c r="H111" s="17">
        <f>VLOOKUP($A111,'DB1'!$C:$Q,10,0)</f>
        <v>46025</v>
      </c>
    </row>
    <row r="112" spans="1:8" ht="33">
      <c r="A112" t="str">
        <f>'DB1'!$C109</f>
        <v>2025-053</v>
      </c>
      <c r="B112" s="16" t="str" cm="1">
        <f t="array" ref="B112">_xlfn.IFS(LEFT($A112,2)='DB2'!$G$43,'DB2'!$F$43,LEFT($A112,2)='DB2'!$G$44,'DB2'!$F$44,LEFT($A112,2)='DB2'!$H$44,'DB2'!$F$44,LEFT($A112,2)='DB2'!$I$44,'DB2'!$F$44,LEFT($A112,2)='DB2'!$J$44,'DB2'!$F$44,LEFT($A112,2)='DB2'!$G$45,'DB2'!$F$45,LEFT($A112,2)='DB2'!$G$46,'DB2'!$F$46,LEFT($A112,2)=LEFT('DB2'!$G$47,2),'DB2'!$F$47)</f>
        <v xml:space="preserve">Commissioned Research </v>
      </c>
      <c r="C112" s="16" t="str">
        <f>VLOOKUP($A112,'DB1'!$C:$Q,12,0)</f>
        <v>Environmental Health Big Data Information Center (Year 1)</v>
      </c>
      <c r="D112" s="12" t="str">
        <f>VLOOKUP($A112,'DB1'!$C:$Q,13,0)</f>
        <v>Bae, Hyun-Joo</v>
      </c>
      <c r="E112" s="16" t="str">
        <f>VLOOKUP($A112,'DB1'!$C:$Q,14,0)</f>
        <v>Environmental Informatics</v>
      </c>
      <c r="F112" s="16" t="str">
        <f>VLOOKUP($A112,'DB1'!$C:$Q,15,0)</f>
        <v>Environmental Health</v>
      </c>
      <c r="G112" s="17">
        <f>VLOOKUP($A112,'DB1'!$C:$Q,9,0)</f>
        <v>45735</v>
      </c>
      <c r="H112" s="17">
        <f>VLOOKUP($A112,'DB1'!$C:$Q,10,0)</f>
        <v>46022</v>
      </c>
    </row>
    <row r="113" spans="1:8" ht="33">
      <c r="A113" t="str">
        <f>'DB1'!$C110</f>
        <v>2025-054</v>
      </c>
      <c r="B113" s="16" t="str" cm="1">
        <f t="array" ref="B113">_xlfn.IFS(LEFT($A113,2)='DB2'!$G$43,'DB2'!$F$43,LEFT($A113,2)='DB2'!$G$44,'DB2'!$F$44,LEFT($A113,2)='DB2'!$H$44,'DB2'!$F$44,LEFT($A113,2)='DB2'!$I$44,'DB2'!$F$44,LEFT($A113,2)='DB2'!$J$44,'DB2'!$F$44,LEFT($A113,2)='DB2'!$G$45,'DB2'!$F$45,LEFT($A113,2)='DB2'!$G$46,'DB2'!$F$46,LEFT($A113,2)=LEFT('DB2'!$G$47,2),'DB2'!$F$47)</f>
        <v xml:space="preserve">Commissioned Research </v>
      </c>
      <c r="C113" s="16" t="str">
        <f>VLOOKUP($A113,'DB1'!$C:$Q,12,0)</f>
        <v>Securing Next-Generation Response Resources to Cope with Paradigm Shifts in Marine Pollution Accidents</v>
      </c>
      <c r="D113" s="12" t="str">
        <f>VLOOKUP($A113,'DB1'!$C:$Q,13,0)</f>
        <v>Kim, Choong-ki</v>
      </c>
      <c r="E113" s="16" t="str">
        <f>VLOOKUP($A113,'DB1'!$C:$Q,14,0)</f>
        <v>Marine Environment</v>
      </c>
      <c r="F113" s="16">
        <f>VLOOKUP($A113,'DB1'!$C:$Q,15,0)</f>
        <v>0</v>
      </c>
      <c r="G113" s="17">
        <f>VLOOKUP($A113,'DB1'!$C:$Q,9,0)</f>
        <v>45756</v>
      </c>
      <c r="H113" s="17">
        <f>VLOOKUP($A113,'DB1'!$C:$Q,10,0)</f>
        <v>45935</v>
      </c>
    </row>
    <row r="114" spans="1:8" ht="33">
      <c r="A114" t="str">
        <f>'DB1'!$C111</f>
        <v>2025-055(R)</v>
      </c>
      <c r="B114" s="16" t="str" cm="1">
        <f t="array" ref="B114">_xlfn.IFS(LEFT($A114,2)='DB2'!$G$43,'DB2'!$F$43,LEFT($A114,2)='DB2'!$G$44,'DB2'!$F$44,LEFT($A114,2)='DB2'!$H$44,'DB2'!$F$44,LEFT($A114,2)='DB2'!$I$44,'DB2'!$F$44,LEFT($A114,2)='DB2'!$J$44,'DB2'!$F$44,LEFT($A114,2)='DB2'!$G$45,'DB2'!$F$45,LEFT($A114,2)='DB2'!$G$46,'DB2'!$F$46,LEFT($A114,2)=LEFT('DB2'!$G$47,2),'DB2'!$F$47)</f>
        <v xml:space="preserve">Commissioned Research </v>
      </c>
      <c r="C114" s="16" t="str">
        <f>VLOOKUP($A114,'DB1'!$C:$Q,12,0)</f>
        <v>Development of Smart Survey Technology for Areas Vulnerable to Landslides (Year 1)</v>
      </c>
      <c r="D114" s="12" t="str">
        <f>VLOOKUP($A114,'DB1'!$C:$Q,13,0)</f>
        <v xml:space="preserve">Kim, Geunhan </v>
      </c>
      <c r="E114" s="16" t="str">
        <f>VLOOKUP($A114,'DB1'!$C:$Q,14,0)</f>
        <v>Land Management and Environment</v>
      </c>
      <c r="F114" s="16" t="str">
        <f>VLOOKUP($A114,'DB1'!$C:$Q,15,0)</f>
        <v>Environmental Informatics</v>
      </c>
      <c r="G114" s="17">
        <f>VLOOKUP($A114,'DB1'!$C:$Q,9,0)</f>
        <v>45748</v>
      </c>
      <c r="H114" s="17">
        <f>VLOOKUP($A114,'DB1'!$C:$Q,10,0)</f>
        <v>46022</v>
      </c>
    </row>
    <row r="115" spans="1:8" ht="33">
      <c r="A115" t="str">
        <f>'DB1'!$C112</f>
        <v>2025-056(R)</v>
      </c>
      <c r="B115" s="16" t="str" cm="1">
        <f t="array" ref="B115">_xlfn.IFS(LEFT($A115,2)='DB2'!$G$43,'DB2'!$F$43,LEFT($A115,2)='DB2'!$G$44,'DB2'!$F$44,LEFT($A115,2)='DB2'!$H$44,'DB2'!$F$44,LEFT($A115,2)='DB2'!$I$44,'DB2'!$F$44,LEFT($A115,2)='DB2'!$J$44,'DB2'!$F$44,LEFT($A115,2)='DB2'!$G$45,'DB2'!$F$45,LEFT($A115,2)='DB2'!$G$46,'DB2'!$F$46,LEFT($A115,2)=LEFT('DB2'!$G$47,2),'DB2'!$F$47)</f>
        <v xml:space="preserve">Commissioned Research </v>
      </c>
      <c r="C115" s="16" t="str">
        <f>VLOOKUP($A115,'DB1'!$C:$Q,12,0)</f>
        <v>Development of Management Technologies for Persistent Pollutants in the Marine Environment (Year 2)</v>
      </c>
      <c r="D115" s="12" t="str">
        <f>VLOOKUP($A115,'DB1'!$C:$Q,13,0)</f>
        <v xml:space="preserve">Jung, Dawoon </v>
      </c>
      <c r="E115" s="16" t="str">
        <f>VLOOKUP($A115,'DB1'!$C:$Q,14,0)</f>
        <v>Marine Environment</v>
      </c>
      <c r="F115" s="16" t="str">
        <f>VLOOKUP($A115,'DB1'!$C:$Q,15,0)</f>
        <v>Environmental Health</v>
      </c>
      <c r="G115" s="17">
        <f>VLOOKUP($A115,'DB1'!$C:$Q,9,0)</f>
        <v>45658</v>
      </c>
      <c r="H115" s="17">
        <f>VLOOKUP($A115,'DB1'!$C:$Q,10,0)</f>
        <v>46022</v>
      </c>
    </row>
    <row r="116" spans="1:8" ht="33">
      <c r="A116" t="str">
        <f>'DB1'!$C113</f>
        <v>2025-057</v>
      </c>
      <c r="B116" s="16" t="str" cm="1">
        <f t="array" ref="B116">_xlfn.IFS(LEFT($A116,2)='DB2'!$G$43,'DB2'!$F$43,LEFT($A116,2)='DB2'!$G$44,'DB2'!$F$44,LEFT($A116,2)='DB2'!$H$44,'DB2'!$F$44,LEFT($A116,2)='DB2'!$I$44,'DB2'!$F$44,LEFT($A116,2)='DB2'!$J$44,'DB2'!$F$44,LEFT($A116,2)='DB2'!$G$45,'DB2'!$F$45,LEFT($A116,2)='DB2'!$G$46,'DB2'!$F$46,LEFT($A116,2)=LEFT('DB2'!$G$47,2),'DB2'!$F$47)</f>
        <v xml:space="preserve">Commissioned Research </v>
      </c>
      <c r="C116" s="16" t="str">
        <f>VLOOKUP($A116,'DB1'!$C:$Q,12,0)</f>
        <v>Economic Impact Analysis of the 2035 NDC (II)</v>
      </c>
      <c r="D116" s="12" t="str">
        <f>VLOOKUP($A116,'DB1'!$C:$Q,13,0)</f>
        <v xml:space="preserve">Moon, Jongwoo </v>
      </c>
      <c r="E116" s="16" t="str">
        <f>VLOOKUP($A116,'DB1'!$C:$Q,14,0)</f>
        <v>Environmental Economics</v>
      </c>
      <c r="F116" s="16" t="str">
        <f>VLOOKUP($A116,'DB1'!$C:$Q,15,0)</f>
        <v>Climate Environment (GHG Reduction)</v>
      </c>
      <c r="G116" s="17">
        <f>VLOOKUP($A116,'DB1'!$C:$Q,9,0)</f>
        <v>45742</v>
      </c>
      <c r="H116" s="17">
        <f>VLOOKUP($A116,'DB1'!$C:$Q,10,0)</f>
        <v>46048</v>
      </c>
    </row>
    <row r="117" spans="1:8" ht="33">
      <c r="A117" t="str">
        <f>'DB1'!$C114</f>
        <v>2025-058</v>
      </c>
      <c r="B117" s="16" t="str" cm="1">
        <f t="array" ref="B117">_xlfn.IFS(LEFT($A117,2)='DB2'!$G$43,'DB2'!$F$43,LEFT($A117,2)='DB2'!$G$44,'DB2'!$F$44,LEFT($A117,2)='DB2'!$H$44,'DB2'!$F$44,LEFT($A117,2)='DB2'!$I$44,'DB2'!$F$44,LEFT($A117,2)='DB2'!$J$44,'DB2'!$F$44,LEFT($A117,2)='DB2'!$G$45,'DB2'!$F$45,LEFT($A117,2)='DB2'!$G$46,'DB2'!$F$46,LEFT($A117,2)=LEFT('DB2'!$G$47,2),'DB2'!$F$47)</f>
        <v xml:space="preserve">Commissioned Research </v>
      </c>
      <c r="C117" s="16" t="str">
        <f>VLOOKUP($A117,'DB1'!$C:$Q,12,0)</f>
        <v>Policy Development to Promote Water Sector Initiatives</v>
      </c>
      <c r="D117" s="12" t="str">
        <f>VLOOKUP($A117,'DB1'!$C:$Q,13,0)</f>
        <v xml:space="preserve">Oh, Myoungjin </v>
      </c>
      <c r="E117" s="16" t="str">
        <f>VLOOKUP($A117,'DB1'!$C:$Q,14,0)</f>
        <v>Water Management</v>
      </c>
      <c r="F117" s="16" t="str">
        <f>VLOOKUP($A117,'DB1'!$C:$Q,15,0)</f>
        <v>Environmental Economics</v>
      </c>
      <c r="G117" s="17">
        <f>VLOOKUP($A117,'DB1'!$C:$Q,9,0)</f>
        <v>45757</v>
      </c>
      <c r="H117" s="17">
        <f>VLOOKUP($A117,'DB1'!$C:$Q,10,0)</f>
        <v>45996</v>
      </c>
    </row>
    <row r="118" spans="1:8" ht="33">
      <c r="A118" t="str">
        <f>'DB1'!$C115</f>
        <v>2025-059</v>
      </c>
      <c r="B118" s="16" t="str" cm="1">
        <f t="array" ref="B118">_xlfn.IFS(LEFT($A118,2)='DB2'!$G$43,'DB2'!$F$43,LEFT($A118,2)='DB2'!$G$44,'DB2'!$F$44,LEFT($A118,2)='DB2'!$H$44,'DB2'!$F$44,LEFT($A118,2)='DB2'!$I$44,'DB2'!$F$44,LEFT($A118,2)='DB2'!$J$44,'DB2'!$F$44,LEFT($A118,2)='DB2'!$G$45,'DB2'!$F$45,LEFT($A118,2)='DB2'!$G$46,'DB2'!$F$46,LEFT($A118,2)=LEFT('DB2'!$G$47,2),'DB2'!$F$47)</f>
        <v xml:space="preserve">Commissioned Research </v>
      </c>
      <c r="C118" s="16" t="str">
        <f>VLOOKUP($A118,'DB1'!$C:$Q,12,0)</f>
        <v>2025 Cost-Benefit Analysis of Environmental Regulations</v>
      </c>
      <c r="D118" s="12" t="str">
        <f>VLOOKUP($A118,'DB1'!$C:$Q,13,0)</f>
        <v>Shin, Sang-Cheol</v>
      </c>
      <c r="E118" s="16" t="str">
        <f>VLOOKUP($A118,'DB1'!$C:$Q,14,0)</f>
        <v>Environmental Economics</v>
      </c>
      <c r="F118" s="16">
        <f>VLOOKUP($A118,'DB1'!$C:$Q,15,0)</f>
        <v>0</v>
      </c>
      <c r="G118" s="17">
        <f>VLOOKUP($A118,'DB1'!$C:$Q,9,0)</f>
        <v>45757</v>
      </c>
      <c r="H118" s="17">
        <f>VLOOKUP($A118,'DB1'!$C:$Q,10,0)</f>
        <v>45999</v>
      </c>
    </row>
    <row r="119" spans="1:8" ht="33">
      <c r="A119" t="str">
        <f>'DB1'!$C116</f>
        <v>2025-060(R)</v>
      </c>
      <c r="B119" s="16" t="str" cm="1">
        <f t="array" ref="B119">_xlfn.IFS(LEFT($A119,2)='DB2'!$G$43,'DB2'!$F$43,LEFT($A119,2)='DB2'!$G$44,'DB2'!$F$44,LEFT($A119,2)='DB2'!$H$44,'DB2'!$F$44,LEFT($A119,2)='DB2'!$I$44,'DB2'!$F$44,LEFT($A119,2)='DB2'!$J$44,'DB2'!$F$44,LEFT($A119,2)='DB2'!$G$45,'DB2'!$F$45,LEFT($A119,2)='DB2'!$G$46,'DB2'!$F$46,LEFT($A119,2)=LEFT('DB2'!$G$47,2),'DB2'!$F$47)</f>
        <v xml:space="preserve">Commissioned Research </v>
      </c>
      <c r="C119" s="16" t="str">
        <f>VLOOKUP($A119,'DB1'!$C:$Q,12,0)</f>
        <v>Developing Subtropical Marine Environment Adaptation Scenarios, Response Measures, and Utilization System (Year 1)</v>
      </c>
      <c r="D119" s="12" t="str">
        <f>VLOOKUP($A119,'DB1'!$C:$Q,13,0)</f>
        <v xml:space="preserve">Koo, Kyung Ah </v>
      </c>
      <c r="E119" s="16" t="str">
        <f>VLOOKUP($A119,'DB1'!$C:$Q,14,0)</f>
        <v>Marine Environment</v>
      </c>
      <c r="F119" s="16">
        <f>VLOOKUP($A119,'DB1'!$C:$Q,15,0)</f>
        <v>0</v>
      </c>
      <c r="G119" s="17">
        <f>VLOOKUP($A119,'DB1'!$C:$Q,9,0)</f>
        <v>45748</v>
      </c>
      <c r="H119" s="17">
        <f>VLOOKUP($A119,'DB1'!$C:$Q,10,0)</f>
        <v>46022</v>
      </c>
    </row>
    <row r="120" spans="1:8" ht="33">
      <c r="A120" t="str">
        <f>'DB1'!$C117</f>
        <v>2025-061</v>
      </c>
      <c r="B120" s="16" t="str" cm="1">
        <f t="array" ref="B120">_xlfn.IFS(LEFT($A120,2)='DB2'!$G$43,'DB2'!$F$43,LEFT($A120,2)='DB2'!$G$44,'DB2'!$F$44,LEFT($A120,2)='DB2'!$H$44,'DB2'!$F$44,LEFT($A120,2)='DB2'!$I$44,'DB2'!$F$44,LEFT($A120,2)='DB2'!$J$44,'DB2'!$F$44,LEFT($A120,2)='DB2'!$G$45,'DB2'!$F$45,LEFT($A120,2)='DB2'!$G$46,'DB2'!$F$46,LEFT($A120,2)=LEFT('DB2'!$G$47,2),'DB2'!$F$47)</f>
        <v xml:space="preserve">Commissioned Research </v>
      </c>
      <c r="C120" s="16" t="str">
        <f>VLOOKUP($A120,'DB1'!$C:$Q,12,0)</f>
        <v>Study on Methodology for Certification of Recycled Battery Materials Production</v>
      </c>
      <c r="D120" s="12" t="str">
        <f>VLOOKUP($A120,'DB1'!$C:$Q,13,0)</f>
        <v>Jo, Ji Hye</v>
      </c>
      <c r="E120" s="16" t="str">
        <f>VLOOKUP($A120,'DB1'!$C:$Q,14,0)</f>
        <v>Circular Economy</v>
      </c>
      <c r="F120" s="16">
        <f>VLOOKUP($A120,'DB1'!$C:$Q,15,0)</f>
        <v>0</v>
      </c>
      <c r="G120" s="17">
        <f>VLOOKUP($A120,'DB1'!$C:$Q,9,0)</f>
        <v>45761</v>
      </c>
      <c r="H120" s="17">
        <f>VLOOKUP($A120,'DB1'!$C:$Q,10,0)</f>
        <v>46030</v>
      </c>
    </row>
    <row r="121" spans="1:8" ht="33">
      <c r="A121" t="str">
        <f>'DB1'!$C118</f>
        <v>2025-062</v>
      </c>
      <c r="B121" s="16" t="str" cm="1">
        <f t="array" ref="B121">_xlfn.IFS(LEFT($A121,2)='DB2'!$G$43,'DB2'!$F$43,LEFT($A121,2)='DB2'!$G$44,'DB2'!$F$44,LEFT($A121,2)='DB2'!$H$44,'DB2'!$F$44,LEFT($A121,2)='DB2'!$I$44,'DB2'!$F$44,LEFT($A121,2)='DB2'!$J$44,'DB2'!$F$44,LEFT($A121,2)='DB2'!$G$45,'DB2'!$F$45,LEFT($A121,2)='DB2'!$G$46,'DB2'!$F$46,LEFT($A121,2)=LEFT('DB2'!$G$47,2),'DB2'!$F$47)</f>
        <v xml:space="preserve">Commissioned Research </v>
      </c>
      <c r="C121" s="16" t="str">
        <f>VLOOKUP($A121,'DB1'!$C:$Q,12,0)</f>
        <v>Development of the 4th Basic Plan for Natural Environment Conservation (2026–2035)</v>
      </c>
      <c r="D121" s="12" t="str">
        <f>VLOOKUP($A121,'DB1'!$C:$Q,13,0)</f>
        <v>Hong, Hyunjung</v>
      </c>
      <c r="E121" s="16" t="str">
        <f>VLOOKUP($A121,'DB1'!$C:$Q,14,0)</f>
        <v>Land Management and Environment</v>
      </c>
      <c r="F121" s="16" t="str">
        <f>VLOOKUP($A121,'DB1'!$C:$Q,15,0)</f>
        <v>Ecology</v>
      </c>
      <c r="G121" s="17">
        <f>VLOOKUP($A121,'DB1'!$C:$Q,9,0)</f>
        <v>45762</v>
      </c>
      <c r="H121" s="17">
        <f>VLOOKUP($A121,'DB1'!$C:$Q,10,0)</f>
        <v>46061</v>
      </c>
    </row>
    <row r="122" spans="1:8" ht="33">
      <c r="A122" t="str">
        <f>'DB1'!$C119</f>
        <v>2025-063</v>
      </c>
      <c r="B122" s="16" t="str" cm="1">
        <f t="array" ref="B122">_xlfn.IFS(LEFT($A122,2)='DB2'!$G$43,'DB2'!$F$43,LEFT($A122,2)='DB2'!$G$44,'DB2'!$F$44,LEFT($A122,2)='DB2'!$H$44,'DB2'!$F$44,LEFT($A122,2)='DB2'!$I$44,'DB2'!$F$44,LEFT($A122,2)='DB2'!$J$44,'DB2'!$F$44,LEFT($A122,2)='DB2'!$G$45,'DB2'!$F$45,LEFT($A122,2)='DB2'!$G$46,'DB2'!$F$46,LEFT($A122,2)=LEFT('DB2'!$G$47,2),'DB2'!$F$47)</f>
        <v xml:space="preserve">Commissioned Research </v>
      </c>
      <c r="C122" s="16" t="str">
        <f>VLOOKUP($A122,'DB1'!$C:$Q,12,0)</f>
        <v>Developing a Smart Construction Noise Management System</v>
      </c>
      <c r="D122" s="12" t="str">
        <f>VLOOKUP($A122,'DB1'!$C:$Q,13,0)</f>
        <v>Lee, Byungkwon</v>
      </c>
      <c r="E122" s="16" t="str">
        <f>VLOOKUP($A122,'DB1'!$C:$Q,14,0)</f>
        <v>Noise and Vibration Impacts</v>
      </c>
      <c r="F122" s="16" t="str">
        <f>VLOOKUP($A122,'DB1'!$C:$Q,15,0)</f>
        <v>Environmental Informatics</v>
      </c>
      <c r="G122" s="17">
        <f>VLOOKUP($A122,'DB1'!$C:$Q,9,0)</f>
        <v>45764</v>
      </c>
      <c r="H122" s="17">
        <f>VLOOKUP($A122,'DB1'!$C:$Q,10,0)</f>
        <v>46003</v>
      </c>
    </row>
    <row r="123" spans="1:8" ht="33">
      <c r="A123" t="str">
        <f>'DB1'!$C120</f>
        <v>2025-064(R)</v>
      </c>
      <c r="B123" s="16" t="str" cm="1">
        <f t="array" ref="B123">_xlfn.IFS(LEFT($A123,2)='DB2'!$G$43,'DB2'!$F$43,LEFT($A123,2)='DB2'!$G$44,'DB2'!$F$44,LEFT($A123,2)='DB2'!$H$44,'DB2'!$F$44,LEFT($A123,2)='DB2'!$I$44,'DB2'!$F$44,LEFT($A123,2)='DB2'!$J$44,'DB2'!$F$44,LEFT($A123,2)='DB2'!$G$45,'DB2'!$F$45,LEFT($A123,2)='DB2'!$G$46,'DB2'!$F$46,LEFT($A123,2)=LEFT('DB2'!$G$47,2),'DB2'!$F$47)</f>
        <v xml:space="preserve">Commissioned Research </v>
      </c>
      <c r="C123" s="16" t="str">
        <f>VLOOKUP($A123,'DB1'!$C:$Q,12,0)</f>
        <v>Developing Assessment Indicators and Valuation Technologies for Aquatic Ecosystem Services (Year 1)</v>
      </c>
      <c r="D123" s="12" t="str">
        <f>VLOOKUP($A123,'DB1'!$C:$Q,13,0)</f>
        <v>Kang, Sungwon</v>
      </c>
      <c r="E123" s="16" t="str">
        <f>VLOOKUP($A123,'DB1'!$C:$Q,14,0)</f>
        <v>Environmental Economics</v>
      </c>
      <c r="F123" s="16" t="str">
        <f>VLOOKUP($A123,'DB1'!$C:$Q,15,0)</f>
        <v>Ecology</v>
      </c>
      <c r="G123" s="17">
        <f>VLOOKUP($A123,'DB1'!$C:$Q,9,0)</f>
        <v>45748</v>
      </c>
      <c r="H123" s="17">
        <f>VLOOKUP($A123,'DB1'!$C:$Q,10,0)</f>
        <v>46022</v>
      </c>
    </row>
    <row r="124" spans="1:8" ht="33">
      <c r="A124" t="str">
        <f>'DB1'!$C121</f>
        <v>2025-065</v>
      </c>
      <c r="B124" s="16" t="str" cm="1">
        <f t="array" ref="B124">_xlfn.IFS(LEFT($A124,2)='DB2'!$G$43,'DB2'!$F$43,LEFT($A124,2)='DB2'!$G$44,'DB2'!$F$44,LEFT($A124,2)='DB2'!$H$44,'DB2'!$F$44,LEFT($A124,2)='DB2'!$I$44,'DB2'!$F$44,LEFT($A124,2)='DB2'!$J$44,'DB2'!$F$44,LEFT($A124,2)='DB2'!$G$45,'DB2'!$F$45,LEFT($A124,2)='DB2'!$G$46,'DB2'!$F$46,LEFT($A124,2)=LEFT('DB2'!$G$47,2),'DB2'!$F$47)</f>
        <v xml:space="preserve">Commissioned Research </v>
      </c>
      <c r="C124" s="16" t="str">
        <f>VLOOKUP($A124,'DB1'!$C:$Q,12,0)</f>
        <v>Midterm Evaluation and Improvement Strategies for Korean Children's Environment and Health Study (ko-CHENs)</v>
      </c>
      <c r="D124" s="12" t="str">
        <f>VLOOKUP($A124,'DB1'!$C:$Q,13,0)</f>
        <v xml:space="preserve">Jung, Dawoon </v>
      </c>
      <c r="E124" s="16" t="str">
        <f>VLOOKUP($A124,'DB1'!$C:$Q,14,0)</f>
        <v>Environmental Health</v>
      </c>
      <c r="F124" s="16">
        <f>VLOOKUP($A124,'DB1'!$C:$Q,15,0)</f>
        <v>0</v>
      </c>
      <c r="G124" s="17">
        <f>VLOOKUP($A124,'DB1'!$C:$Q,9,0)</f>
        <v>45765</v>
      </c>
      <c r="H124" s="17">
        <f>VLOOKUP($A124,'DB1'!$C:$Q,10,0)</f>
        <v>46065</v>
      </c>
    </row>
    <row r="125" spans="1:8" ht="33">
      <c r="A125" t="str">
        <f>'DB1'!$C122</f>
        <v>2025-066</v>
      </c>
      <c r="B125" s="16" t="str" cm="1">
        <f t="array" ref="B125">_xlfn.IFS(LEFT($A125,2)='DB2'!$G$43,'DB2'!$F$43,LEFT($A125,2)='DB2'!$G$44,'DB2'!$F$44,LEFT($A125,2)='DB2'!$H$44,'DB2'!$F$44,LEFT($A125,2)='DB2'!$I$44,'DB2'!$F$44,LEFT($A125,2)='DB2'!$J$44,'DB2'!$F$44,LEFT($A125,2)='DB2'!$G$45,'DB2'!$F$45,LEFT($A125,2)='DB2'!$G$46,'DB2'!$F$46,LEFT($A125,2)=LEFT('DB2'!$G$47,2),'DB2'!$F$47)</f>
        <v xml:space="preserve">Commissioned Research </v>
      </c>
      <c r="C125" s="16" t="str">
        <f>VLOOKUP($A125,'DB1'!$C:$Q,12,0)</f>
        <v xml:space="preserve">2024 Performance Evaluation of the Air Quality Control Master Plan in Four Air Control Zones </v>
      </c>
      <c r="D125" s="12" t="str">
        <f>VLOOKUP($A125,'DB1'!$C:$Q,13,0)</f>
        <v>Choi, Ki-Chul</v>
      </c>
      <c r="E125" s="16" t="str">
        <f>VLOOKUP($A125,'DB1'!$C:$Q,14,0)</f>
        <v>Atmospheric Environment</v>
      </c>
      <c r="F125" s="16">
        <f>VLOOKUP($A125,'DB1'!$C:$Q,15,0)</f>
        <v>0</v>
      </c>
      <c r="G125" s="17">
        <f>VLOOKUP($A125,'DB1'!$C:$Q,9,0)</f>
        <v>45770</v>
      </c>
      <c r="H125" s="17">
        <f>VLOOKUP($A125,'DB1'!$C:$Q,10,0)</f>
        <v>46001</v>
      </c>
    </row>
    <row r="126" spans="1:8" ht="33">
      <c r="A126" t="str">
        <f>'DB1'!$C123</f>
        <v>2025-067</v>
      </c>
      <c r="B126" s="16" t="str" cm="1">
        <f t="array" ref="B126">_xlfn.IFS(LEFT($A126,2)='DB2'!$G$43,'DB2'!$F$43,LEFT($A126,2)='DB2'!$G$44,'DB2'!$F$44,LEFT($A126,2)='DB2'!$H$44,'DB2'!$F$44,LEFT($A126,2)='DB2'!$I$44,'DB2'!$F$44,LEFT($A126,2)='DB2'!$J$44,'DB2'!$F$44,LEFT($A126,2)='DB2'!$G$45,'DB2'!$F$45,LEFT($A126,2)='DB2'!$G$46,'DB2'!$F$46,LEFT($A126,2)=LEFT('DB2'!$G$47,2),'DB2'!$F$47)</f>
        <v xml:space="preserve">Commissioned Research </v>
      </c>
      <c r="C126" s="16" t="str">
        <f>VLOOKUP($A126,'DB1'!$C:$Q,12,0)</f>
        <v>Developing a Support Framework for Health Impact Assessment Implementation</v>
      </c>
      <c r="D126" s="12" t="str">
        <f>VLOOKUP($A126,'DB1'!$C:$Q,13,0)</f>
        <v>Ha, Jongsik</v>
      </c>
      <c r="E126" s="16" t="str">
        <f>VLOOKUP($A126,'DB1'!$C:$Q,14,0)</f>
        <v>Environmental Assessment</v>
      </c>
      <c r="F126" s="16" t="str">
        <f>VLOOKUP($A126,'DB1'!$C:$Q,15,0)</f>
        <v>Environmental Health</v>
      </c>
      <c r="G126" s="17">
        <f>VLOOKUP($A126,'DB1'!$C:$Q,9,0)</f>
        <v>45770</v>
      </c>
      <c r="H126" s="17">
        <f>VLOOKUP($A126,'DB1'!$C:$Q,10,0)</f>
        <v>45991</v>
      </c>
    </row>
    <row r="127" spans="1:8" ht="33">
      <c r="A127" t="str">
        <f>'DB1'!$C124</f>
        <v>2025-068</v>
      </c>
      <c r="B127" s="16" t="str" cm="1">
        <f t="array" ref="B127">_xlfn.IFS(LEFT($A127,2)='DB2'!$G$43,'DB2'!$F$43,LEFT($A127,2)='DB2'!$G$44,'DB2'!$F$44,LEFT($A127,2)='DB2'!$H$44,'DB2'!$F$44,LEFT($A127,2)='DB2'!$I$44,'DB2'!$F$44,LEFT($A127,2)='DB2'!$J$44,'DB2'!$F$44,LEFT($A127,2)='DB2'!$G$45,'DB2'!$F$45,LEFT($A127,2)='DB2'!$G$46,'DB2'!$F$46,LEFT($A127,2)=LEFT('DB2'!$G$47,2),'DB2'!$F$47)</f>
        <v xml:space="preserve">Commissioned Research </v>
      </c>
      <c r="C127" s="16" t="str">
        <f>VLOOKUP($A127,'DB1'!$C:$Q,12,0)</f>
        <v>Development of a Medium- to Long-Term Management Strategy for Waste in Rivers and Estuaries</v>
      </c>
      <c r="D127" s="12" t="str">
        <f>VLOOKUP($A127,'DB1'!$C:$Q,13,0)</f>
        <v>Kim, Yeonjoong</v>
      </c>
      <c r="E127" s="16" t="str">
        <f>VLOOKUP($A127,'DB1'!$C:$Q,14,0)</f>
        <v>Water Management</v>
      </c>
      <c r="F127" s="16" t="str">
        <f>VLOOKUP($A127,'DB1'!$C:$Q,15,0)</f>
        <v>Circular Economy</v>
      </c>
      <c r="G127" s="17">
        <f>VLOOKUP($A127,'DB1'!$C:$Q,9,0)</f>
        <v>45770</v>
      </c>
      <c r="H127" s="17">
        <f>VLOOKUP($A127,'DB1'!$C:$Q,10,0)</f>
        <v>45979</v>
      </c>
    </row>
    <row r="128" spans="1:8" ht="33">
      <c r="A128" t="str">
        <f>'DB1'!$C125</f>
        <v>2025-069</v>
      </c>
      <c r="B128" s="16" t="str" cm="1">
        <f t="array" ref="B128">_xlfn.IFS(LEFT($A128,2)='DB2'!$G$43,'DB2'!$F$43,LEFT($A128,2)='DB2'!$G$44,'DB2'!$F$44,LEFT($A128,2)='DB2'!$H$44,'DB2'!$F$44,LEFT($A128,2)='DB2'!$I$44,'DB2'!$F$44,LEFT($A128,2)='DB2'!$J$44,'DB2'!$F$44,LEFT($A128,2)='DB2'!$G$45,'DB2'!$F$45,LEFT($A128,2)='DB2'!$G$46,'DB2'!$F$46,LEFT($A128,2)=LEFT('DB2'!$G$47,2),'DB2'!$F$47)</f>
        <v xml:space="preserve">Commissioned Research </v>
      </c>
      <c r="C128" s="16" t="str">
        <f>VLOOKUP($A128,'DB1'!$C:$Q,12,0)</f>
        <v>Revising Subordinate Legislation of the Clean Air Conservation Act</v>
      </c>
      <c r="D128" s="12" t="str">
        <f>VLOOKUP($A128,'DB1'!$C:$Q,13,0)</f>
        <v>Gong, Sungyong</v>
      </c>
      <c r="E128" s="16" t="str">
        <f>VLOOKUP($A128,'DB1'!$C:$Q,14,0)</f>
        <v>Atmospheric Environment</v>
      </c>
      <c r="F128" s="16">
        <f>VLOOKUP($A128,'DB1'!$C:$Q,15,0)</f>
        <v>0</v>
      </c>
      <c r="G128" s="17">
        <f>VLOOKUP($A128,'DB1'!$C:$Q,9,0)</f>
        <v>45772</v>
      </c>
      <c r="H128" s="17">
        <f>VLOOKUP($A128,'DB1'!$C:$Q,10,0)</f>
        <v>45982</v>
      </c>
    </row>
    <row r="129" spans="1:8" ht="33">
      <c r="A129" t="str">
        <f>'DB1'!$C126</f>
        <v>2025-070</v>
      </c>
      <c r="B129" s="16" t="str" cm="1">
        <f t="array" ref="B129">_xlfn.IFS(LEFT($A129,2)='DB2'!$G$43,'DB2'!$F$43,LEFT($A129,2)='DB2'!$G$44,'DB2'!$F$44,LEFT($A129,2)='DB2'!$H$44,'DB2'!$F$44,LEFT($A129,2)='DB2'!$I$44,'DB2'!$F$44,LEFT($A129,2)='DB2'!$J$44,'DB2'!$F$44,LEFT($A129,2)='DB2'!$G$45,'DB2'!$F$45,LEFT($A129,2)='DB2'!$G$46,'DB2'!$F$46,LEFT($A129,2)=LEFT('DB2'!$G$47,2),'DB2'!$F$47)</f>
        <v xml:space="preserve">Commissioned Research </v>
      </c>
      <c r="C129" s="16" t="str">
        <f>VLOOKUP($A129,'DB1'!$C:$Q,12,0)</f>
        <v>Study for Revising the 5th Comprehensive National Environmental Plan (II)</v>
      </c>
      <c r="D129" s="12" t="str">
        <f>VLOOKUP($A129,'DB1'!$C:$Q,13,0)</f>
        <v>공동과책 확인</v>
      </c>
      <c r="E129" s="16" t="str">
        <f>VLOOKUP($A129,'DB1'!$C:$Q,14,0)</f>
        <v>Land Management and Environment</v>
      </c>
      <c r="F129" s="16">
        <f>VLOOKUP($A129,'DB1'!$C:$Q,15,0)</f>
        <v>0</v>
      </c>
      <c r="G129" s="17">
        <f>VLOOKUP($A129,'DB1'!$C:$Q,9,0)</f>
        <v>45776</v>
      </c>
      <c r="H129" s="17">
        <f>VLOOKUP($A129,'DB1'!$C:$Q,10,0)</f>
        <v>46045</v>
      </c>
    </row>
    <row r="130" spans="1:8" ht="33">
      <c r="A130" t="str">
        <f>'DB1'!$C127</f>
        <v>2025-071(R)</v>
      </c>
      <c r="B130" s="16" t="str" cm="1">
        <f t="array" ref="B130">_xlfn.IFS(LEFT($A130,2)='DB2'!$G$43,'DB2'!$F$43,LEFT($A130,2)='DB2'!$G$44,'DB2'!$F$44,LEFT($A130,2)='DB2'!$H$44,'DB2'!$F$44,LEFT($A130,2)='DB2'!$I$44,'DB2'!$F$44,LEFT($A130,2)='DB2'!$J$44,'DB2'!$F$44,LEFT($A130,2)='DB2'!$G$45,'DB2'!$F$45,LEFT($A130,2)='DB2'!$G$46,'DB2'!$F$46,LEFT($A130,2)=LEFT('DB2'!$G$47,2),'DB2'!$F$47)</f>
        <v xml:space="preserve">Commissioned Research </v>
      </c>
      <c r="C130" s="16" t="str">
        <f>VLOOKUP($A130,'DB1'!$C:$Q,12,0)</f>
        <v>Developing Policy Evaluation Techniques Using Citizen, Social, Economic, and Environmental Data for Citizen-Participatory Climate Adaptation (Year 1)</v>
      </c>
      <c r="D130" s="12" t="str">
        <f>VLOOKUP($A130,'DB1'!$C:$Q,13,0)</f>
        <v>Chae, Yeora</v>
      </c>
      <c r="E130" s="16" t="str">
        <f>VLOOKUP($A130,'DB1'!$C:$Q,14,0)</f>
        <v>Climate Adaptation</v>
      </c>
      <c r="F130" s="16" t="str">
        <f>VLOOKUP($A130,'DB1'!$C:$Q,15,0)</f>
        <v>Socio-Environmental Interface</v>
      </c>
      <c r="G130" s="17">
        <f>VLOOKUP($A130,'DB1'!$C:$Q,9,0)</f>
        <v>45748</v>
      </c>
      <c r="H130" s="17">
        <f>VLOOKUP($A130,'DB1'!$C:$Q,10,0)</f>
        <v>46022</v>
      </c>
    </row>
    <row r="131" spans="1:8" ht="33">
      <c r="A131" t="str">
        <f>'DB1'!$C128</f>
        <v>2025-072(R)</v>
      </c>
      <c r="B131" s="16" t="str" cm="1">
        <f t="array" ref="B131">_xlfn.IFS(LEFT($A131,2)='DB2'!$G$43,'DB2'!$F$43,LEFT($A131,2)='DB2'!$G$44,'DB2'!$F$44,LEFT($A131,2)='DB2'!$H$44,'DB2'!$F$44,LEFT($A131,2)='DB2'!$I$44,'DB2'!$F$44,LEFT($A131,2)='DB2'!$J$44,'DB2'!$F$44,LEFT($A131,2)='DB2'!$G$45,'DB2'!$F$45,LEFT($A131,2)='DB2'!$G$46,'DB2'!$F$46,LEFT($A131,2)=LEFT('DB2'!$G$47,2),'DB2'!$F$47)</f>
        <v xml:space="preserve">Commissioned Research </v>
      </c>
      <c r="C131" s="16" t="str">
        <f>VLOOKUP($A131,'DB1'!$C:$Q,12,0)</f>
        <v>Establishment of a Standardization Foundation for Smart and Sustainable Cities and Communities and Development of International Standards Related to Carbon-neutral Cities</v>
      </c>
      <c r="D131" s="12" t="str">
        <f>VLOOKUP($A131,'DB1'!$C:$Q,13,0)</f>
        <v xml:space="preserve">Song, Jiyoon </v>
      </c>
      <c r="E131" s="16" t="str">
        <f>VLOOKUP($A131,'DB1'!$C:$Q,14,0)</f>
        <v>Land Management and Environment</v>
      </c>
      <c r="F131" s="16" t="str">
        <f>VLOOKUP($A131,'DB1'!$C:$Q,15,0)</f>
        <v>Climate Environment (GHG Reduction)</v>
      </c>
      <c r="G131" s="17">
        <f>VLOOKUP($A131,'DB1'!$C:$Q,9,0)</f>
        <v>45748</v>
      </c>
      <c r="H131" s="17">
        <f>VLOOKUP($A131,'DB1'!$C:$Q,10,0)</f>
        <v>47118</v>
      </c>
    </row>
    <row r="132" spans="1:8" ht="33">
      <c r="A132" t="str">
        <f>'DB1'!$C129</f>
        <v>2025-073</v>
      </c>
      <c r="B132" s="16" t="str" cm="1">
        <f t="array" ref="B132">_xlfn.IFS(LEFT($A132,2)='DB2'!$G$43,'DB2'!$F$43,LEFT($A132,2)='DB2'!$G$44,'DB2'!$F$44,LEFT($A132,2)='DB2'!$H$44,'DB2'!$F$44,LEFT($A132,2)='DB2'!$I$44,'DB2'!$F$44,LEFT($A132,2)='DB2'!$J$44,'DB2'!$F$44,LEFT($A132,2)='DB2'!$G$45,'DB2'!$F$45,LEFT($A132,2)='DB2'!$G$46,'DB2'!$F$46,LEFT($A132,2)=LEFT('DB2'!$G$47,2),'DB2'!$F$47)</f>
        <v xml:space="preserve">Commissioned Research </v>
      </c>
      <c r="C132" s="16" t="str">
        <f>VLOOKUP($A132,'DB1'!$C:$Q,12,0)</f>
        <v>Study on Reviewing and Improving the Second Basic Plan for Soil Conservation</v>
      </c>
      <c r="D132" s="12" t="str">
        <f>VLOOKUP($A132,'DB1'!$C:$Q,13,0)</f>
        <v>Lee, Jeongho</v>
      </c>
      <c r="E132" s="16" t="str">
        <f>VLOOKUP($A132,'DB1'!$C:$Q,14,0)</f>
        <v>Land Management and Environment</v>
      </c>
      <c r="F132" s="16">
        <f>VLOOKUP($A132,'DB1'!$C:$Q,15,0)</f>
        <v>0</v>
      </c>
      <c r="G132" s="17">
        <f>VLOOKUP($A132,'DB1'!$C:$Q,9,0)</f>
        <v>45789</v>
      </c>
      <c r="H132" s="17">
        <f>VLOOKUP($A132,'DB1'!$C:$Q,10,0)</f>
        <v>46001</v>
      </c>
    </row>
    <row r="133" spans="1:8" ht="33">
      <c r="A133" t="str">
        <f>'DB1'!$C130</f>
        <v>2025-074</v>
      </c>
      <c r="B133" s="16" t="str" cm="1">
        <f t="array" ref="B133">_xlfn.IFS(LEFT($A133,2)='DB2'!$G$43,'DB2'!$F$43,LEFT($A133,2)='DB2'!$G$44,'DB2'!$F$44,LEFT($A133,2)='DB2'!$H$44,'DB2'!$F$44,LEFT($A133,2)='DB2'!$I$44,'DB2'!$F$44,LEFT($A133,2)='DB2'!$J$44,'DB2'!$F$44,LEFT($A133,2)='DB2'!$G$45,'DB2'!$F$45,LEFT($A133,2)='DB2'!$G$46,'DB2'!$F$46,LEFT($A133,2)=LEFT('DB2'!$G$47,2),'DB2'!$F$47)</f>
        <v xml:space="preserve">Commissioned Research </v>
      </c>
      <c r="C133" s="16" t="str">
        <f>VLOOKUP($A133,'DB1'!$C:$Q,12,0)</f>
        <v>Developing Wastewater Utilization Strategies for Environmental Safety and Proper Management</v>
      </c>
      <c r="D133" s="12" t="str">
        <f>VLOOKUP($A133,'DB1'!$C:$Q,13,0)</f>
        <v>Han, Daeho</v>
      </c>
      <c r="E133" s="16" t="str">
        <f>VLOOKUP($A133,'DB1'!$C:$Q,14,0)</f>
        <v>Water Management</v>
      </c>
      <c r="F133" s="16" t="str">
        <f>VLOOKUP($A133,'DB1'!$C:$Q,15,0)</f>
        <v>Environmental Health</v>
      </c>
      <c r="G133" s="17">
        <f>VLOOKUP($A133,'DB1'!$C:$Q,9,0)</f>
        <v>45789</v>
      </c>
      <c r="H133" s="17">
        <f>VLOOKUP($A133,'DB1'!$C:$Q,10,0)</f>
        <v>45989</v>
      </c>
    </row>
    <row r="134" spans="1:8" ht="49.5">
      <c r="A134" t="str">
        <f>'DB1'!$C131</f>
        <v>2025-075</v>
      </c>
      <c r="B134" s="16" t="str" cm="1">
        <f t="array" ref="B134">_xlfn.IFS(LEFT($A134,2)='DB2'!$G$43,'DB2'!$F$43,LEFT($A134,2)='DB2'!$G$44,'DB2'!$F$44,LEFT($A134,2)='DB2'!$H$44,'DB2'!$F$44,LEFT($A134,2)='DB2'!$I$44,'DB2'!$F$44,LEFT($A134,2)='DB2'!$J$44,'DB2'!$F$44,LEFT($A134,2)='DB2'!$G$45,'DB2'!$F$45,LEFT($A134,2)='DB2'!$G$46,'DB2'!$F$46,LEFT($A134,2)=LEFT('DB2'!$G$47,2),'DB2'!$F$47)</f>
        <v xml:space="preserve">Commissioned Research </v>
      </c>
      <c r="C134" s="16" t="str">
        <f>VLOOKUP($A134,'DB1'!$C:$Q,12,0)</f>
        <v>Promoting International Cooperation in the Water Sector (II)</v>
      </c>
      <c r="D134" s="12" t="str">
        <f>VLOOKUP($A134,'DB1'!$C:$Q,13,0)</f>
        <v>Kim, Ikjae</v>
      </c>
      <c r="E134" s="16" t="str">
        <f>VLOOKUP($A134,'DB1'!$C:$Q,14,0)</f>
        <v>Water Management</v>
      </c>
      <c r="F134" s="16" t="str">
        <f>VLOOKUP($A134,'DB1'!$C:$Q,15,0)</f>
        <v>International &amp; Regional Collaboration</v>
      </c>
      <c r="G134" s="17">
        <f>VLOOKUP($A134,'DB1'!$C:$Q,9,0)</f>
        <v>45790</v>
      </c>
      <c r="H134" s="17">
        <f>VLOOKUP($A134,'DB1'!$C:$Q,10,0)</f>
        <v>46154</v>
      </c>
    </row>
    <row r="135" spans="1:8" ht="33">
      <c r="A135" t="str">
        <f>'DB1'!$C132</f>
        <v>2025-076</v>
      </c>
      <c r="B135" s="16" t="str" cm="1">
        <f t="array" ref="B135">_xlfn.IFS(LEFT($A135,2)='DB2'!$G$43,'DB2'!$F$43,LEFT($A135,2)='DB2'!$G$44,'DB2'!$F$44,LEFT($A135,2)='DB2'!$H$44,'DB2'!$F$44,LEFT($A135,2)='DB2'!$I$44,'DB2'!$F$44,LEFT($A135,2)='DB2'!$J$44,'DB2'!$F$44,LEFT($A135,2)='DB2'!$G$45,'DB2'!$F$45,LEFT($A135,2)='DB2'!$G$46,'DB2'!$F$46,LEFT($A135,2)=LEFT('DB2'!$G$47,2),'DB2'!$F$47)</f>
        <v xml:space="preserve">Commissioned Research </v>
      </c>
      <c r="C135" s="16" t="str">
        <f>VLOOKUP($A135,'DB1'!$C:$Q,12,0)</f>
        <v>Study on Subordinate Legislation, Administrative Rules, and Regulatory Analysis for the Amendment of the Natural Environment Conservation Act</v>
      </c>
      <c r="D135" s="12" t="str">
        <f>VLOOKUP($A135,'DB1'!$C:$Q,13,0)</f>
        <v>Son, Seungwoo</v>
      </c>
      <c r="E135" s="16" t="str">
        <f>VLOOKUP($A135,'DB1'!$C:$Q,14,0)</f>
        <v>Land Management and Environment</v>
      </c>
      <c r="F135" s="16" t="str">
        <f>VLOOKUP($A135,'DB1'!$C:$Q,15,0)</f>
        <v>Ecology</v>
      </c>
      <c r="G135" s="17">
        <f>VLOOKUP($A135,'DB1'!$C:$Q,9,0)</f>
        <v>45790</v>
      </c>
      <c r="H135" s="17">
        <f>VLOOKUP($A135,'DB1'!$C:$Q,10,0)</f>
        <v>46089</v>
      </c>
    </row>
    <row r="136" spans="1:8" ht="33">
      <c r="A136" t="str">
        <f>'DB1'!$C133</f>
        <v>2025-077</v>
      </c>
      <c r="B136" s="16" t="str" cm="1">
        <f t="array" ref="B136">_xlfn.IFS(LEFT($A136,2)='DB2'!$G$43,'DB2'!$F$43,LEFT($A136,2)='DB2'!$G$44,'DB2'!$F$44,LEFT($A136,2)='DB2'!$H$44,'DB2'!$F$44,LEFT($A136,2)='DB2'!$I$44,'DB2'!$F$44,LEFT($A136,2)='DB2'!$J$44,'DB2'!$F$44,LEFT($A136,2)='DB2'!$G$45,'DB2'!$F$45,LEFT($A136,2)='DB2'!$G$46,'DB2'!$F$46,LEFT($A136,2)=LEFT('DB2'!$G$47,2),'DB2'!$F$47)</f>
        <v xml:space="preserve">Commissioned Research </v>
      </c>
      <c r="C136" s="16" t="str">
        <f>VLOOKUP($A136,'DB1'!$C:$Q,12,0)</f>
        <v>2025 Environmental Tax and Revenue Account Statistics Compilation (Using 2023 Data)</v>
      </c>
      <c r="D136" s="12" t="str">
        <f>VLOOKUP($A136,'DB1'!$C:$Q,13,0)</f>
        <v>Kang, Sungwon</v>
      </c>
      <c r="E136" s="16" t="str">
        <f>VLOOKUP($A136,'DB1'!$C:$Q,14,0)</f>
        <v>Environmental Economics</v>
      </c>
      <c r="F136" s="16" t="str">
        <f>VLOOKUP($A136,'DB1'!$C:$Q,15,0)</f>
        <v>Socio-Environmental Interface</v>
      </c>
      <c r="G136" s="17">
        <f>VLOOKUP($A136,'DB1'!$C:$Q,9,0)</f>
        <v>45790</v>
      </c>
      <c r="H136" s="17">
        <f>VLOOKUP($A136,'DB1'!$C:$Q,10,0)</f>
        <v>46154</v>
      </c>
    </row>
    <row r="137" spans="1:8" ht="49.5">
      <c r="A137" t="str">
        <f>'DB1'!$C134</f>
        <v>2025-078</v>
      </c>
      <c r="B137" s="16" t="str" cm="1">
        <f t="array" ref="B137">_xlfn.IFS(LEFT($A137,2)='DB2'!$G$43,'DB2'!$F$43,LEFT($A137,2)='DB2'!$G$44,'DB2'!$F$44,LEFT($A137,2)='DB2'!$H$44,'DB2'!$F$44,LEFT($A137,2)='DB2'!$I$44,'DB2'!$F$44,LEFT($A137,2)='DB2'!$J$44,'DB2'!$F$44,LEFT($A137,2)='DB2'!$G$45,'DB2'!$F$45,LEFT($A137,2)='DB2'!$G$46,'DB2'!$F$46,LEFT($A137,2)=LEFT('DB2'!$G$47,2),'DB2'!$F$47)</f>
        <v xml:space="preserve">Commissioned Research </v>
      </c>
      <c r="C137" s="16" t="str">
        <f>VLOOKUP($A137,'DB1'!$C:$Q,12,0)</f>
        <v>Study on Establishing a UNESCO Science-Guided National Water Assessment System (I)</v>
      </c>
      <c r="D137" s="12" t="str">
        <f>VLOOKUP($A137,'DB1'!$C:$Q,13,0)</f>
        <v>Kim, Ikjae</v>
      </c>
      <c r="E137" s="16" t="str">
        <f>VLOOKUP($A137,'DB1'!$C:$Q,14,0)</f>
        <v>Water Management</v>
      </c>
      <c r="F137" s="16" t="str">
        <f>VLOOKUP($A137,'DB1'!$C:$Q,15,0)</f>
        <v>International &amp; Regional Collaboration</v>
      </c>
      <c r="G137" s="17">
        <f>VLOOKUP($A137,'DB1'!$C:$Q,9,0)</f>
        <v>45790</v>
      </c>
      <c r="H137" s="17">
        <f>VLOOKUP($A137,'DB1'!$C:$Q,10,0)</f>
        <v>46154</v>
      </c>
    </row>
    <row r="138" spans="1:8" ht="33">
      <c r="A138" t="str">
        <f>'DB1'!$C135</f>
        <v>2025-079</v>
      </c>
      <c r="B138" s="16" t="str" cm="1">
        <f t="array" ref="B138">_xlfn.IFS(LEFT($A138,2)='DB2'!$G$43,'DB2'!$F$43,LEFT($A138,2)='DB2'!$G$44,'DB2'!$F$44,LEFT($A138,2)='DB2'!$H$44,'DB2'!$F$44,LEFT($A138,2)='DB2'!$I$44,'DB2'!$F$44,LEFT($A138,2)='DB2'!$J$44,'DB2'!$F$44,LEFT($A138,2)='DB2'!$G$45,'DB2'!$F$45,LEFT($A138,2)='DB2'!$G$46,'DB2'!$F$46,LEFT($A138,2)=LEFT('DB2'!$G$47,2),'DB2'!$F$47)</f>
        <v xml:space="preserve">Commissioned Research </v>
      </c>
      <c r="C138" s="16" t="str">
        <f>VLOOKUP($A138,'DB1'!$C:$Q,12,0)</f>
        <v>Study on the Health Effects of Fine Dust and Other Air Pollutants Using a Large-Scale Cohort Study (Phase 1)</v>
      </c>
      <c r="D138" s="12" t="str">
        <f>VLOOKUP($A138,'DB1'!$C:$Q,13,0)</f>
        <v>Kang, Sungwon</v>
      </c>
      <c r="E138" s="16" t="str">
        <f>VLOOKUP($A138,'DB1'!$C:$Q,14,0)</f>
        <v>Environmental Health</v>
      </c>
      <c r="F138" s="16" t="str">
        <f>VLOOKUP($A138,'DB1'!$C:$Q,15,0)</f>
        <v>Atmospheric Environment</v>
      </c>
      <c r="G138" s="17">
        <f>VLOOKUP($A138,'DB1'!$C:$Q,9,0)</f>
        <v>45748</v>
      </c>
      <c r="H138" s="17">
        <f>VLOOKUP($A138,'DB1'!$C:$Q,10,0)</f>
        <v>46022</v>
      </c>
    </row>
    <row r="139" spans="1:8" ht="33">
      <c r="A139" t="str">
        <f>'DB1'!$C136</f>
        <v>2025-080</v>
      </c>
      <c r="B139" s="16" t="str" cm="1">
        <f t="array" ref="B139">_xlfn.IFS(LEFT($A139,2)='DB2'!$G$43,'DB2'!$F$43,LEFT($A139,2)='DB2'!$G$44,'DB2'!$F$44,LEFT($A139,2)='DB2'!$H$44,'DB2'!$F$44,LEFT($A139,2)='DB2'!$I$44,'DB2'!$F$44,LEFT($A139,2)='DB2'!$J$44,'DB2'!$F$44,LEFT($A139,2)='DB2'!$G$45,'DB2'!$F$45,LEFT($A139,2)='DB2'!$G$46,'DB2'!$F$46,LEFT($A139,2)=LEFT('DB2'!$G$47,2),'DB2'!$F$47)</f>
        <v xml:space="preserve">Commissioned Research </v>
      </c>
      <c r="C139" s="16" t="str">
        <f>VLOOKUP($A139,'DB1'!$C:$Q,12,0)</f>
        <v>Establishing the First Master Plan for Circular Economy (Phase 1)</v>
      </c>
      <c r="D139" s="12" t="str">
        <f>VLOOKUP($A139,'DB1'!$C:$Q,13,0)</f>
        <v>Jo, Ji Hye</v>
      </c>
      <c r="E139" s="16" t="str">
        <f>VLOOKUP($A139,'DB1'!$C:$Q,14,0)</f>
        <v>Circular Economy</v>
      </c>
      <c r="F139" s="16">
        <f>VLOOKUP($A139,'DB1'!$C:$Q,15,0)</f>
        <v>0</v>
      </c>
      <c r="G139" s="17">
        <f>VLOOKUP($A139,'DB1'!$C:$Q,9,0)</f>
        <v>45796</v>
      </c>
      <c r="H139" s="17">
        <f>VLOOKUP($A139,'DB1'!$C:$Q,10,0)</f>
        <v>46035</v>
      </c>
    </row>
    <row r="140" spans="1:8" ht="33">
      <c r="A140" t="str">
        <f>'DB1'!$C137</f>
        <v>2025-081</v>
      </c>
      <c r="B140" s="16" t="str" cm="1">
        <f t="array" ref="B140">_xlfn.IFS(LEFT($A140,2)='DB2'!$G$43,'DB2'!$F$43,LEFT($A140,2)='DB2'!$G$44,'DB2'!$F$44,LEFT($A140,2)='DB2'!$H$44,'DB2'!$F$44,LEFT($A140,2)='DB2'!$I$44,'DB2'!$F$44,LEFT($A140,2)='DB2'!$J$44,'DB2'!$F$44,LEFT($A140,2)='DB2'!$G$45,'DB2'!$F$45,LEFT($A140,2)='DB2'!$G$46,'DB2'!$F$46,LEFT($A140,2)=LEFT('DB2'!$G$47,2),'DB2'!$F$47)</f>
        <v xml:space="preserve">Commissioned Research </v>
      </c>
      <c r="C140" s="16" t="str">
        <f>VLOOKUP($A140,'DB1'!$C:$Q,12,0)</f>
        <v>Developing an Implementation Plan for the 2030 Roadmap for Expanding National Protected Areas</v>
      </c>
      <c r="D140" s="12" t="str">
        <f>VLOOKUP($A140,'DB1'!$C:$Q,13,0)</f>
        <v>Son, Seungwoo</v>
      </c>
      <c r="E140" s="16" t="str">
        <f>VLOOKUP($A140,'DB1'!$C:$Q,14,0)</f>
        <v>Land Management and Environment</v>
      </c>
      <c r="F140" s="16" t="str">
        <f>VLOOKUP($A140,'DB1'!$C:$Q,15,0)</f>
        <v>Ecology</v>
      </c>
      <c r="G140" s="17">
        <f>VLOOKUP($A140,'DB1'!$C:$Q,9,0)</f>
        <v>45793</v>
      </c>
      <c r="H140" s="17">
        <f>VLOOKUP($A140,'DB1'!$C:$Q,10,0)</f>
        <v>46157</v>
      </c>
    </row>
    <row r="141" spans="1:8" ht="49.5">
      <c r="A141" t="str">
        <f>'DB1'!$C138</f>
        <v>2025-082</v>
      </c>
      <c r="B141" s="16" t="str" cm="1">
        <f t="array" ref="B141">_xlfn.IFS(LEFT($A141,2)='DB2'!$G$43,'DB2'!$F$43,LEFT($A141,2)='DB2'!$G$44,'DB2'!$F$44,LEFT($A141,2)='DB2'!$H$44,'DB2'!$F$44,LEFT($A141,2)='DB2'!$I$44,'DB2'!$F$44,LEFT($A141,2)='DB2'!$J$44,'DB2'!$F$44,LEFT($A141,2)='DB2'!$G$45,'DB2'!$F$45,LEFT($A141,2)='DB2'!$G$46,'DB2'!$F$46,LEFT($A141,2)=LEFT('DB2'!$G$47,2),'DB2'!$F$47)</f>
        <v xml:space="preserve">Commissioned Research </v>
      </c>
      <c r="C141" s="16" t="str">
        <f>VLOOKUP($A141,'DB1'!$C:$Q,12,0)</f>
        <v>Strategies to Respond to Discussions at the 2025 OECD Carbon Reduction Forum (IFCMA) and the Climate Club</v>
      </c>
      <c r="D141" s="12" t="str">
        <f>VLOOKUP($A141,'DB1'!$C:$Q,13,0)</f>
        <v xml:space="preserve">Moon, Jongwoo </v>
      </c>
      <c r="E141" s="16" t="str">
        <f>VLOOKUP($A141,'DB1'!$C:$Q,14,0)</f>
        <v>Climate Environment (GHG Reduction)</v>
      </c>
      <c r="F141" s="16" t="str">
        <f>VLOOKUP($A141,'DB1'!$C:$Q,15,0)</f>
        <v>International &amp; Regional Collaboration</v>
      </c>
      <c r="G141" s="17">
        <f>VLOOKUP($A141,'DB1'!$C:$Q,9,0)</f>
        <v>45800</v>
      </c>
      <c r="H141" s="17">
        <f>VLOOKUP($A141,'DB1'!$C:$Q,10,0)</f>
        <v>46022</v>
      </c>
    </row>
    <row r="142" spans="1:8" ht="33">
      <c r="A142" t="str">
        <f>'DB1'!$C139</f>
        <v>2025-083</v>
      </c>
      <c r="B142" s="16" t="str" cm="1">
        <f t="array" ref="B142">_xlfn.IFS(LEFT($A142,2)='DB2'!$G$43,'DB2'!$F$43,LEFT($A142,2)='DB2'!$G$44,'DB2'!$F$44,LEFT($A142,2)='DB2'!$H$44,'DB2'!$F$44,LEFT($A142,2)='DB2'!$I$44,'DB2'!$F$44,LEFT($A142,2)='DB2'!$J$44,'DB2'!$F$44,LEFT($A142,2)='DB2'!$G$45,'DB2'!$F$45,LEFT($A142,2)='DB2'!$G$46,'DB2'!$F$46,LEFT($A142,2)=LEFT('DB2'!$G$47,2),'DB2'!$F$47)</f>
        <v xml:space="preserve">Commissioned Research </v>
      </c>
      <c r="C142" s="16" t="str">
        <f>VLOOKUP($A142,'DB1'!$C:$Q,12,0)</f>
        <v>Evaluation of the 2024 Han River Basin Community Support Project</v>
      </c>
      <c r="D142" s="12" t="str">
        <f>VLOOKUP($A142,'DB1'!$C:$Q,13,0)</f>
        <v>Jeon, Dongjin</v>
      </c>
      <c r="E142" s="16" t="str">
        <f>VLOOKUP($A142,'DB1'!$C:$Q,14,0)</f>
        <v>Water Management</v>
      </c>
      <c r="F142" s="16" t="str">
        <f>VLOOKUP($A142,'DB1'!$C:$Q,15,0)</f>
        <v>Socio-Environmental Interface</v>
      </c>
      <c r="G142" s="17">
        <f>VLOOKUP($A142,'DB1'!$C:$Q,9,0)</f>
        <v>45803</v>
      </c>
      <c r="H142" s="17">
        <f>VLOOKUP($A142,'DB1'!$C:$Q,10,0)</f>
        <v>45952</v>
      </c>
    </row>
    <row r="143" spans="1:8" ht="33">
      <c r="A143" t="str">
        <f>'DB1'!$C140</f>
        <v>2025-084</v>
      </c>
      <c r="B143" s="16" t="str" cm="1">
        <f t="array" ref="B143">_xlfn.IFS(LEFT($A143,2)='DB2'!$G$43,'DB2'!$F$43,LEFT($A143,2)='DB2'!$G$44,'DB2'!$F$44,LEFT($A143,2)='DB2'!$H$44,'DB2'!$F$44,LEFT($A143,2)='DB2'!$I$44,'DB2'!$F$44,LEFT($A143,2)='DB2'!$J$44,'DB2'!$F$44,LEFT($A143,2)='DB2'!$G$45,'DB2'!$F$45,LEFT($A143,2)='DB2'!$G$46,'DB2'!$F$46,LEFT($A143,2)=LEFT('DB2'!$G$47,2),'DB2'!$F$47)</f>
        <v xml:space="preserve">Commissioned Research </v>
      </c>
      <c r="C143" s="16" t="str">
        <f>VLOOKUP($A143,'DB1'!$C:$Q,12,0)</f>
        <v>Indicator Analysis for the Preparation of Korea’s 2026 SDG Implementation Report</v>
      </c>
      <c r="D143" s="12" t="str">
        <f>VLOOKUP($A143,'DB1'!$C:$Q,13,0)</f>
        <v>Chung, Woo Hyun</v>
      </c>
      <c r="E143" s="16" t="str">
        <f>VLOOKUP($A143,'DB1'!$C:$Q,14,0)</f>
        <v>Environmental Economics</v>
      </c>
      <c r="F143" s="16" t="str">
        <f>VLOOKUP($A143,'DB1'!$C:$Q,15,0)</f>
        <v>Socio-Environmental Interface</v>
      </c>
      <c r="G143" s="17">
        <f>VLOOKUP($A143,'DB1'!$C:$Q,9,0)</f>
        <v>45803</v>
      </c>
      <c r="H143" s="17">
        <f>VLOOKUP($A143,'DB1'!$C:$Q,10,0)</f>
        <v>45991</v>
      </c>
    </row>
    <row r="144" spans="1:8" ht="33">
      <c r="A144" t="str">
        <f>'DB1'!$C141</f>
        <v>2025-085</v>
      </c>
      <c r="B144" s="16" t="str" cm="1">
        <f t="array" ref="B144">_xlfn.IFS(LEFT($A144,2)='DB2'!$G$43,'DB2'!$F$43,LEFT($A144,2)='DB2'!$G$44,'DB2'!$F$44,LEFT($A144,2)='DB2'!$H$44,'DB2'!$F$44,LEFT($A144,2)='DB2'!$I$44,'DB2'!$F$44,LEFT($A144,2)='DB2'!$J$44,'DB2'!$F$44,LEFT($A144,2)='DB2'!$G$45,'DB2'!$F$45,LEFT($A144,2)='DB2'!$G$46,'DB2'!$F$46,LEFT($A144,2)=LEFT('DB2'!$G$47,2),'DB2'!$F$47)</f>
        <v xml:space="preserve">Commissioned Research </v>
      </c>
      <c r="C144" s="16" t="str">
        <f>VLOOKUP($A144,'DB1'!$C:$Q,12,0)</f>
        <v>2024 Performance Evaluation of Eco-friendly Clean Projects</v>
      </c>
      <c r="D144" s="12" t="str">
        <f>VLOOKUP($A144,'DB1'!$C:$Q,13,0)</f>
        <v xml:space="preserve">Lee, Seungsoo </v>
      </c>
      <c r="E144" s="16" t="str">
        <f>VLOOKUP($A144,'DB1'!$C:$Q,14,0)</f>
        <v>Environmental Economics</v>
      </c>
      <c r="F144" s="16">
        <f>VLOOKUP($A144,'DB1'!$C:$Q,15,0)</f>
        <v>0</v>
      </c>
      <c r="G144" s="17">
        <f>VLOOKUP($A144,'DB1'!$C:$Q,9,0)</f>
        <v>45806</v>
      </c>
      <c r="H144" s="17">
        <f>VLOOKUP($A144,'DB1'!$C:$Q,10,0)</f>
        <v>45960</v>
      </c>
    </row>
    <row r="145" spans="1:8" ht="33">
      <c r="A145" t="str">
        <f>'DB1'!$C142</f>
        <v>2025-086</v>
      </c>
      <c r="B145" s="16" t="str" cm="1">
        <f t="array" ref="B145">_xlfn.IFS(LEFT($A145,2)='DB2'!$G$43,'DB2'!$F$43,LEFT($A145,2)='DB2'!$G$44,'DB2'!$F$44,LEFT($A145,2)='DB2'!$H$44,'DB2'!$F$44,LEFT($A145,2)='DB2'!$I$44,'DB2'!$F$44,LEFT($A145,2)='DB2'!$J$44,'DB2'!$F$44,LEFT($A145,2)='DB2'!$G$45,'DB2'!$F$45,LEFT($A145,2)='DB2'!$G$46,'DB2'!$F$46,LEFT($A145,2)=LEFT('DB2'!$G$47,2),'DB2'!$F$47)</f>
        <v xml:space="preserve">Commissioned Research </v>
      </c>
      <c r="C145" s="16" t="str">
        <f>VLOOKUP($A145,'DB1'!$C:$Q,12,0)</f>
        <v>Advancing the Integrated Management System for Soil and Groundwater Pollution (I)</v>
      </c>
      <c r="D145" s="12" t="str">
        <f>VLOOKUP($A145,'DB1'!$C:$Q,13,0)</f>
        <v>Hyun, Yunjung</v>
      </c>
      <c r="E145" s="16" t="str">
        <f>VLOOKUP($A145,'DB1'!$C:$Q,14,0)</f>
        <v>Land Management and Environment</v>
      </c>
      <c r="F145" s="16" t="str">
        <f>VLOOKUP($A145,'DB1'!$C:$Q,15,0)</f>
        <v>Water Management</v>
      </c>
      <c r="G145" s="17">
        <f>VLOOKUP($A145,'DB1'!$C:$Q,9,0)</f>
        <v>45820</v>
      </c>
      <c r="H145" s="17">
        <f>VLOOKUP($A145,'DB1'!$C:$Q,10,0)</f>
        <v>46184</v>
      </c>
    </row>
    <row r="146" spans="1:8" ht="33">
      <c r="A146" t="str">
        <f>'DB1'!$C143</f>
        <v>2025-087</v>
      </c>
      <c r="B146" s="16" t="str" cm="1">
        <f t="array" ref="B146">_xlfn.IFS(LEFT($A146,2)='DB2'!$G$43,'DB2'!$F$43,LEFT($A146,2)='DB2'!$G$44,'DB2'!$F$44,LEFT($A146,2)='DB2'!$H$44,'DB2'!$F$44,LEFT($A146,2)='DB2'!$I$44,'DB2'!$F$44,LEFT($A146,2)='DB2'!$J$44,'DB2'!$F$44,LEFT($A146,2)='DB2'!$G$45,'DB2'!$F$45,LEFT($A146,2)='DB2'!$G$46,'DB2'!$F$46,LEFT($A146,2)=LEFT('DB2'!$G$47,2),'DB2'!$F$47)</f>
        <v xml:space="preserve">Commissioned Research </v>
      </c>
      <c r="C146" s="16" t="str">
        <f>VLOOKUP($A146,'DB1'!$C:$Q,12,0)</f>
        <v>Developing Ecosystem Health Indicators for National Park Valuation</v>
      </c>
      <c r="D146" s="12" t="str">
        <f>VLOOKUP($A146,'DB1'!$C:$Q,13,0)</f>
        <v>Lee, Who-Seung</v>
      </c>
      <c r="E146" s="16" t="str">
        <f>VLOOKUP($A146,'DB1'!$C:$Q,14,0)</f>
        <v>Ecology</v>
      </c>
      <c r="F146" s="16" t="str">
        <f>VLOOKUP($A146,'DB1'!$C:$Q,15,0)</f>
        <v>Environmental Economics</v>
      </c>
      <c r="G146" s="17">
        <f>VLOOKUP($A146,'DB1'!$C:$Q,9,0)</f>
        <v>45821</v>
      </c>
      <c r="H146" s="17">
        <f>VLOOKUP($A146,'DB1'!$C:$Q,10,0)</f>
        <v>46064</v>
      </c>
    </row>
    <row r="147" spans="1:8" ht="33">
      <c r="A147" t="str">
        <f>'DB1'!$C144</f>
        <v>2025-088(R)</v>
      </c>
      <c r="B147" s="16" t="str" cm="1">
        <f t="array" ref="B147">_xlfn.IFS(LEFT($A147,2)='DB2'!$G$43,'DB2'!$F$43,LEFT($A147,2)='DB2'!$G$44,'DB2'!$F$44,LEFT($A147,2)='DB2'!$H$44,'DB2'!$F$44,LEFT($A147,2)='DB2'!$I$44,'DB2'!$F$44,LEFT($A147,2)='DB2'!$J$44,'DB2'!$F$44,LEFT($A147,2)='DB2'!$G$45,'DB2'!$F$45,LEFT($A147,2)='DB2'!$G$46,'DB2'!$F$46,LEFT($A147,2)=LEFT('DB2'!$G$47,2),'DB2'!$F$47)</f>
        <v xml:space="preserve">Commissioned Research </v>
      </c>
      <c r="C147" s="16" t="str">
        <f>VLOOKUP($A147,'DB1'!$C:$Q,12,0)</f>
        <v>Flood Risk Assessment for Underground Spaces and Development of Flood Mitigation Facilities Tailored to Korea (Year 1)</v>
      </c>
      <c r="D147" s="12" t="str">
        <f>VLOOKUP($A147,'DB1'!$C:$Q,13,0)</f>
        <v xml:space="preserve">Lee, Seungsoo </v>
      </c>
      <c r="E147" s="16" t="str">
        <f>VLOOKUP($A147,'DB1'!$C:$Q,14,0)</f>
        <v>Water Management</v>
      </c>
      <c r="F147" s="16">
        <f>VLOOKUP($A147,'DB1'!$C:$Q,15,0)</f>
        <v>0</v>
      </c>
      <c r="G147" s="17">
        <f>VLOOKUP($A147,'DB1'!$C:$Q,9,0)</f>
        <v>45809</v>
      </c>
      <c r="H147" s="17">
        <f>VLOOKUP($A147,'DB1'!$C:$Q,10,0)</f>
        <v>46022</v>
      </c>
    </row>
    <row r="148" spans="1:8" ht="33">
      <c r="A148" t="str">
        <f>'DB1'!$C145</f>
        <v>2025-089</v>
      </c>
      <c r="B148" s="16" t="str" cm="1">
        <f t="array" ref="B148">_xlfn.IFS(LEFT($A148,2)='DB2'!$G$43,'DB2'!$F$43,LEFT($A148,2)='DB2'!$G$44,'DB2'!$F$44,LEFT($A148,2)='DB2'!$H$44,'DB2'!$F$44,LEFT($A148,2)='DB2'!$I$44,'DB2'!$F$44,LEFT($A148,2)='DB2'!$J$44,'DB2'!$F$44,LEFT($A148,2)='DB2'!$G$45,'DB2'!$F$45,LEFT($A148,2)='DB2'!$G$46,'DB2'!$F$46,LEFT($A148,2)=LEFT('DB2'!$G$47,2),'DB2'!$F$47)</f>
        <v xml:space="preserve">Commissioned Research </v>
      </c>
      <c r="C148" s="16" t="str">
        <f>VLOOKUP($A148,'DB1'!$C:$Q,12,0)</f>
        <v>Developing a Roadmap to Promote the Installation of Detention and Retention Facilities</v>
      </c>
      <c r="D148" s="12" t="str">
        <f>VLOOKUP($A148,'DB1'!$C:$Q,13,0)</f>
        <v>Jeon, Dongjin</v>
      </c>
      <c r="E148" s="16" t="str">
        <f>VLOOKUP($A148,'DB1'!$C:$Q,14,0)</f>
        <v>Water Management</v>
      </c>
      <c r="F148" s="16">
        <f>VLOOKUP($A148,'DB1'!$C:$Q,15,0)</f>
        <v>0</v>
      </c>
      <c r="G148" s="17">
        <f>VLOOKUP($A148,'DB1'!$C:$Q,9,0)</f>
        <v>45831</v>
      </c>
      <c r="H148" s="17">
        <f>VLOOKUP($A148,'DB1'!$C:$Q,10,0)</f>
        <v>46071</v>
      </c>
    </row>
    <row r="149" spans="1:8" ht="33">
      <c r="A149" t="str">
        <f>'DB1'!$C146</f>
        <v>2025-090</v>
      </c>
      <c r="B149" s="16" t="str" cm="1">
        <f t="array" ref="B149">_xlfn.IFS(LEFT($A149,2)='DB2'!$G$43,'DB2'!$F$43,LEFT($A149,2)='DB2'!$G$44,'DB2'!$F$44,LEFT($A149,2)='DB2'!$H$44,'DB2'!$F$44,LEFT($A149,2)='DB2'!$I$44,'DB2'!$F$44,LEFT($A149,2)='DB2'!$J$44,'DB2'!$F$44,LEFT($A149,2)='DB2'!$G$45,'DB2'!$F$45,LEFT($A149,2)='DB2'!$G$46,'DB2'!$F$46,LEFT($A149,2)=LEFT('DB2'!$G$47,2),'DB2'!$F$47)</f>
        <v xml:space="preserve">Commissioned Research </v>
      </c>
      <c r="C149" s="16" t="str">
        <f>VLOOKUP($A149,'DB1'!$C:$Q,12,0)</f>
        <v>Improving the Management System for On-site Food Waste Treatment Equipment</v>
      </c>
      <c r="D149" s="12" t="str">
        <f>VLOOKUP($A149,'DB1'!$C:$Q,13,0)</f>
        <v xml:space="preserve">Ju, Munsol </v>
      </c>
      <c r="E149" s="16" t="str">
        <f>VLOOKUP($A149,'DB1'!$C:$Q,14,0)</f>
        <v>Circular Economy</v>
      </c>
      <c r="F149" s="16">
        <f>VLOOKUP($A149,'DB1'!$C:$Q,15,0)</f>
        <v>0</v>
      </c>
      <c r="G149" s="17">
        <f>VLOOKUP($A149,'DB1'!$C:$Q,9,0)</f>
        <v>45835</v>
      </c>
      <c r="H149" s="17">
        <f>VLOOKUP($A149,'DB1'!$C:$Q,10,0)</f>
        <v>46074</v>
      </c>
    </row>
    <row r="150" spans="1:8" ht="33">
      <c r="A150" t="str">
        <f>'DB1'!$C147</f>
        <v>2025-091</v>
      </c>
      <c r="B150" s="16" t="str" cm="1">
        <f t="array" ref="B150">_xlfn.IFS(LEFT($A150,2)='DB2'!$G$43,'DB2'!$F$43,LEFT($A150,2)='DB2'!$G$44,'DB2'!$F$44,LEFT($A150,2)='DB2'!$H$44,'DB2'!$F$44,LEFT($A150,2)='DB2'!$I$44,'DB2'!$F$44,LEFT($A150,2)='DB2'!$J$44,'DB2'!$F$44,LEFT($A150,2)='DB2'!$G$45,'DB2'!$F$45,LEFT($A150,2)='DB2'!$G$46,'DB2'!$F$46,LEFT($A150,2)=LEFT('DB2'!$G$47,2),'DB2'!$F$47)</f>
        <v xml:space="preserve">Commissioned Research </v>
      </c>
      <c r="C150" s="16" t="str">
        <f>VLOOKUP($A150,'DB1'!$C:$Q,12,0)</f>
        <v>Developing Improvement Measures for Industrial Wastewater Management (II) and Guidelines for Public Wastewater Treatment Facility Planning</v>
      </c>
      <c r="D150" s="12" t="str">
        <f>VLOOKUP($A150,'DB1'!$C:$Q,13,0)</f>
        <v>Han, Daeho</v>
      </c>
      <c r="E150" s="16" t="str">
        <f>VLOOKUP($A150,'DB1'!$C:$Q,14,0)</f>
        <v>Water Management</v>
      </c>
      <c r="F150" s="16">
        <f>VLOOKUP($A150,'DB1'!$C:$Q,15,0)</f>
        <v>0</v>
      </c>
      <c r="G150" s="17">
        <f>VLOOKUP($A150,'DB1'!$C:$Q,9,0)</f>
        <v>45835</v>
      </c>
      <c r="H150" s="17">
        <f>VLOOKUP($A150,'DB1'!$C:$Q,10,0)</f>
        <v>46022</v>
      </c>
    </row>
    <row r="151" spans="1:8" ht="33">
      <c r="A151" t="str">
        <f>'DB1'!$C148</f>
        <v>2025-092</v>
      </c>
      <c r="B151" s="16" t="str" cm="1">
        <f t="array" ref="B151">_xlfn.IFS(LEFT($A151,2)='DB2'!$G$43,'DB2'!$F$43,LEFT($A151,2)='DB2'!$G$44,'DB2'!$F$44,LEFT($A151,2)='DB2'!$H$44,'DB2'!$F$44,LEFT($A151,2)='DB2'!$I$44,'DB2'!$F$44,LEFT($A151,2)='DB2'!$J$44,'DB2'!$F$44,LEFT($A151,2)='DB2'!$G$45,'DB2'!$F$45,LEFT($A151,2)='DB2'!$G$46,'DB2'!$F$46,LEFT($A151,2)=LEFT('DB2'!$G$47,2),'DB2'!$F$47)</f>
        <v xml:space="preserve">Commissioned Research </v>
      </c>
      <c r="C151" s="16" t="str">
        <f>VLOOKUP($A151,'DB1'!$C:$Q,12,0)</f>
        <v>Promoting Private Sector Participation in Natural Environment Restoration Projects and Ecosystem Services Payment Contracts</v>
      </c>
      <c r="D151" s="12" t="str">
        <f>VLOOKUP($A151,'DB1'!$C:$Q,13,0)</f>
        <v>Son, Seungwoo</v>
      </c>
      <c r="E151" s="16" t="str">
        <f>VLOOKUP($A151,'DB1'!$C:$Q,14,0)</f>
        <v>Ecology</v>
      </c>
      <c r="F151" s="16" t="str">
        <f>VLOOKUP($A151,'DB1'!$C:$Q,15,0)</f>
        <v>Socio-Environmental Interface</v>
      </c>
      <c r="G151" s="17">
        <f>VLOOKUP($A151,'DB1'!$C:$Q,9,0)</f>
        <v>45838</v>
      </c>
      <c r="H151" s="17">
        <f>VLOOKUP($A151,'DB1'!$C:$Q,10,0)</f>
        <v>46148</v>
      </c>
    </row>
    <row r="152" spans="1:8" ht="49.5">
      <c r="A152" t="str">
        <f>'DB1'!$C149</f>
        <v>2025-093</v>
      </c>
      <c r="B152" s="16" t="str" cm="1">
        <f t="array" ref="B152">_xlfn.IFS(LEFT($A152,2)='DB2'!$G$43,'DB2'!$F$43,LEFT($A152,2)='DB2'!$G$44,'DB2'!$F$44,LEFT($A152,2)='DB2'!$H$44,'DB2'!$F$44,LEFT($A152,2)='DB2'!$I$44,'DB2'!$F$44,LEFT($A152,2)='DB2'!$J$44,'DB2'!$F$44,LEFT($A152,2)='DB2'!$G$45,'DB2'!$F$45,LEFT($A152,2)='DB2'!$G$46,'DB2'!$F$46,LEFT($A152,2)=LEFT('DB2'!$G$47,2),'DB2'!$F$47)</f>
        <v xml:space="preserve">Commissioned Research </v>
      </c>
      <c r="C152" s="16" t="str">
        <f>VLOOKUP($A152,'DB1'!$C:$Q,12,0)</f>
        <v>Comparative Analysis of Climate and Clean Energy Transition Strategies in the US and China</v>
      </c>
      <c r="D152" s="12" t="str">
        <f>VLOOKUP($A152,'DB1'!$C:$Q,13,0)</f>
        <v>Kang, Taek Goo</v>
      </c>
      <c r="E152" s="16" t="str">
        <f>VLOOKUP($A152,'DB1'!$C:$Q,14,0)</f>
        <v>Climate Environment (GHG Reduction)</v>
      </c>
      <c r="F152" s="16" t="str">
        <f>VLOOKUP($A152,'DB1'!$C:$Q,15,0)</f>
        <v>International &amp; Regional Collaboration</v>
      </c>
      <c r="G152" s="17">
        <f>VLOOKUP($A152,'DB1'!$C:$Q,9,0)</f>
        <v>45825</v>
      </c>
      <c r="H152" s="17">
        <f>VLOOKUP($A152,'DB1'!$C:$Q,10,0)</f>
        <v>45981</v>
      </c>
    </row>
    <row r="153" spans="1:8" ht="33">
      <c r="A153" t="str">
        <f>'DB1'!$C150</f>
        <v>2025-094</v>
      </c>
      <c r="B153" s="16" t="str" cm="1">
        <f t="array" ref="B153">_xlfn.IFS(LEFT($A153,2)='DB2'!$G$43,'DB2'!$F$43,LEFT($A153,2)='DB2'!$G$44,'DB2'!$F$44,LEFT($A153,2)='DB2'!$H$44,'DB2'!$F$44,LEFT($A153,2)='DB2'!$I$44,'DB2'!$F$44,LEFT($A153,2)='DB2'!$J$44,'DB2'!$F$44,LEFT($A153,2)='DB2'!$G$45,'DB2'!$F$45,LEFT($A153,2)='DB2'!$G$46,'DB2'!$F$46,LEFT($A153,2)=LEFT('DB2'!$G$47,2),'DB2'!$F$47)</f>
        <v xml:space="preserve">Commissioned Research </v>
      </c>
      <c r="C153" s="16" t="str">
        <f>VLOOKUP($A153,'DB1'!$C:$Q,12,0)</f>
        <v>Study on Drivers of Change in GHG Emissions under the ETS</v>
      </c>
      <c r="D153" s="12" t="str">
        <f>VLOOKUP($A153,'DB1'!$C:$Q,13,0)</f>
        <v>Lee, Jeongeun</v>
      </c>
      <c r="E153" s="16" t="str">
        <f>VLOOKUP($A153,'DB1'!$C:$Q,14,0)</f>
        <v>Climate Environment (GHG Reduction)</v>
      </c>
      <c r="F153" s="16" t="str">
        <f>VLOOKUP($A153,'DB1'!$C:$Q,15,0)</f>
        <v>Environmental Economics</v>
      </c>
      <c r="G153" s="17">
        <f>VLOOKUP($A153,'DB1'!$C:$Q,9,0)</f>
        <v>45841</v>
      </c>
      <c r="H153" s="17">
        <f>VLOOKUP($A153,'DB1'!$C:$Q,10,0)</f>
        <v>46020</v>
      </c>
    </row>
    <row r="154" spans="1:8" ht="33">
      <c r="A154" t="str">
        <f>'DB1'!$C151</f>
        <v>2025-095</v>
      </c>
      <c r="B154" s="16" t="str" cm="1">
        <f t="array" ref="B154">_xlfn.IFS(LEFT($A154,2)='DB2'!$G$43,'DB2'!$F$43,LEFT($A154,2)='DB2'!$G$44,'DB2'!$F$44,LEFT($A154,2)='DB2'!$H$44,'DB2'!$F$44,LEFT($A154,2)='DB2'!$I$44,'DB2'!$F$44,LEFT($A154,2)='DB2'!$J$44,'DB2'!$F$44,LEFT($A154,2)='DB2'!$G$45,'DB2'!$F$45,LEFT($A154,2)='DB2'!$G$46,'DB2'!$F$46,LEFT($A154,2)=LEFT('DB2'!$G$47,2),'DB2'!$F$47)</f>
        <v xml:space="preserve">Commissioned Research </v>
      </c>
      <c r="C154" s="16" t="str">
        <f>VLOOKUP($A154,'DB1'!$C:$Q,12,0)</f>
        <v>2025 Project for Building Infrastructure to Support Industrial Green Chemistry Transition</v>
      </c>
      <c r="D154" s="12" t="str">
        <f>VLOOKUP($A154,'DB1'!$C:$Q,13,0)</f>
        <v>Suh, Yang-won</v>
      </c>
      <c r="E154" s="16" t="str">
        <f>VLOOKUP($A154,'DB1'!$C:$Q,14,0)</f>
        <v>Environmental Economics</v>
      </c>
      <c r="F154" s="16" t="str">
        <f>VLOOKUP($A154,'DB1'!$C:$Q,15,0)</f>
        <v>Climate Adaptation</v>
      </c>
      <c r="G154" s="17">
        <f>VLOOKUP($A154,'DB1'!$C:$Q,9,0)</f>
        <v>45846</v>
      </c>
      <c r="H154" s="17">
        <f>VLOOKUP($A154,'DB1'!$C:$Q,10,0)</f>
        <v>46145</v>
      </c>
    </row>
    <row r="155" spans="1:8" ht="33">
      <c r="A155" t="str">
        <f>'DB1'!$C152</f>
        <v>2025-096</v>
      </c>
      <c r="B155" s="16" t="str" cm="1">
        <f t="array" ref="B155">_xlfn.IFS(LEFT($A155,2)='DB2'!$G$43,'DB2'!$F$43,LEFT($A155,2)='DB2'!$G$44,'DB2'!$F$44,LEFT($A155,2)='DB2'!$H$44,'DB2'!$F$44,LEFT($A155,2)='DB2'!$I$44,'DB2'!$F$44,LEFT($A155,2)='DB2'!$J$44,'DB2'!$F$44,LEFT($A155,2)='DB2'!$G$45,'DB2'!$F$45,LEFT($A155,2)='DB2'!$G$46,'DB2'!$F$46,LEFT($A155,2)=LEFT('DB2'!$G$47,2),'DB2'!$F$47)</f>
        <v xml:space="preserve">Commissioned Research </v>
      </c>
      <c r="C155" s="16" t="str">
        <f>VLOOKUP($A155,'DB1'!$C:$Q,12,0)</f>
        <v>2025 Survey on the Status of Marine Waste</v>
      </c>
      <c r="D155" s="12" t="str">
        <f>VLOOKUP($A155,'DB1'!$C:$Q,13,0)</f>
        <v>Kim, Choong-ki</v>
      </c>
      <c r="E155" s="16" t="str">
        <f>VLOOKUP($A155,'DB1'!$C:$Q,14,0)</f>
        <v>Marine Environment</v>
      </c>
      <c r="F155" s="16" t="str">
        <f>VLOOKUP($A155,'DB1'!$C:$Q,15,0)</f>
        <v>Circular Economy</v>
      </c>
      <c r="G155" s="17">
        <f>VLOOKUP($A155,'DB1'!$C:$Q,9,0)</f>
        <v>45845</v>
      </c>
      <c r="H155" s="17">
        <f>VLOOKUP($A155,'DB1'!$C:$Q,10,0)</f>
        <v>46017</v>
      </c>
    </row>
    <row r="156" spans="1:8" ht="33">
      <c r="A156" t="str">
        <f>'DB1'!$C153</f>
        <v>2025-097</v>
      </c>
      <c r="B156" s="16" t="str" cm="1">
        <f t="array" ref="B156">_xlfn.IFS(LEFT($A156,2)='DB2'!$G$43,'DB2'!$F$43,LEFT($A156,2)='DB2'!$G$44,'DB2'!$F$44,LEFT($A156,2)='DB2'!$H$44,'DB2'!$F$44,LEFT($A156,2)='DB2'!$I$44,'DB2'!$F$44,LEFT($A156,2)='DB2'!$J$44,'DB2'!$F$44,LEFT($A156,2)='DB2'!$G$45,'DB2'!$F$45,LEFT($A156,2)='DB2'!$G$46,'DB2'!$F$46,LEFT($A156,2)=LEFT('DB2'!$G$47,2),'DB2'!$F$47)</f>
        <v xml:space="preserve">Commissioned Research </v>
      </c>
      <c r="C156" s="16" t="str">
        <f>VLOOKUP($A156,'DB1'!$C:$Q,12,0)</f>
        <v>Compilation of Environmental Protection Expenditure Accounts for 2024</v>
      </c>
      <c r="D156" s="12" t="str">
        <f>VLOOKUP($A156,'DB1'!$C:$Q,13,0)</f>
        <v>Kim, Jongho</v>
      </c>
      <c r="E156" s="16" t="str">
        <f>VLOOKUP($A156,'DB1'!$C:$Q,14,0)</f>
        <v>Environmental Economics</v>
      </c>
      <c r="F156" s="16" t="str">
        <f>VLOOKUP($A156,'DB1'!$C:$Q,15,0)</f>
        <v>Environmental Informatics</v>
      </c>
      <c r="G156" s="17">
        <f>VLOOKUP($A156,'DB1'!$C:$Q,9,0)</f>
        <v>45848</v>
      </c>
      <c r="H156" s="17">
        <f>VLOOKUP($A156,'DB1'!$C:$Q,10,0)</f>
        <v>46147</v>
      </c>
    </row>
    <row r="157" spans="1:8" ht="49.5">
      <c r="A157" t="str">
        <f>'DB1'!$C154</f>
        <v>2025-098</v>
      </c>
      <c r="B157" s="16" t="str" cm="1">
        <f t="array" ref="B157">_xlfn.IFS(LEFT($A157,2)='DB2'!$G$43,'DB2'!$F$43,LEFT($A157,2)='DB2'!$G$44,'DB2'!$F$44,LEFT($A157,2)='DB2'!$H$44,'DB2'!$F$44,LEFT($A157,2)='DB2'!$I$44,'DB2'!$F$44,LEFT($A157,2)='DB2'!$J$44,'DB2'!$F$44,LEFT($A157,2)='DB2'!$G$45,'DB2'!$F$45,LEFT($A157,2)='DB2'!$G$46,'DB2'!$F$46,LEFT($A157,2)=LEFT('DB2'!$G$47,2),'DB2'!$F$47)</f>
        <v xml:space="preserve">Commissioned Research </v>
      </c>
      <c r="C157" s="16" t="str">
        <f>VLOOKUP($A157,'DB1'!$C:$Q,12,0)</f>
        <v>Developing National Indicators for Genetic Diversity to Support Implementation of the Global Biodiversity Framework (Year 2)</v>
      </c>
      <c r="D157" s="12" t="str">
        <f>VLOOKUP($A157,'DB1'!$C:$Q,13,0)</f>
        <v xml:space="preserve">Koo, Kyung Ah </v>
      </c>
      <c r="E157" s="16" t="str">
        <f>VLOOKUP($A157,'DB1'!$C:$Q,14,0)</f>
        <v>Ecology</v>
      </c>
      <c r="F157" s="16" t="str">
        <f>VLOOKUP($A157,'DB1'!$C:$Q,15,0)</f>
        <v>International &amp; Regional Collaboration</v>
      </c>
      <c r="G157" s="17">
        <f>VLOOKUP($A157,'DB1'!$C:$Q,9,0)</f>
        <v>45852</v>
      </c>
      <c r="H157" s="17">
        <f>VLOOKUP($A157,'DB1'!$C:$Q,10,0)</f>
        <v>46091</v>
      </c>
    </row>
    <row r="158" spans="1:8" ht="33">
      <c r="A158" t="str">
        <f>'DB1'!$C155</f>
        <v>2025-099</v>
      </c>
      <c r="B158" s="16" t="str" cm="1">
        <f t="array" ref="B158">_xlfn.IFS(LEFT($A158,2)='DB2'!$G$43,'DB2'!$F$43,LEFT($A158,2)='DB2'!$G$44,'DB2'!$F$44,LEFT($A158,2)='DB2'!$H$44,'DB2'!$F$44,LEFT($A158,2)='DB2'!$I$44,'DB2'!$F$44,LEFT($A158,2)='DB2'!$J$44,'DB2'!$F$44,LEFT($A158,2)='DB2'!$G$45,'DB2'!$F$45,LEFT($A158,2)='DB2'!$G$46,'DB2'!$F$46,LEFT($A158,2)=LEFT('DB2'!$G$47,2),'DB2'!$F$47)</f>
        <v xml:space="preserve">Commissioned Research </v>
      </c>
      <c r="C158" s="16" t="str">
        <f>VLOOKUP($A158,'DB1'!$C:$Q,12,0)</f>
        <v>Developing a Regulatory Framework for Indoor Air Polllutant Designation</v>
      </c>
      <c r="D158" s="12" t="str">
        <f>VLOOKUP($A158,'DB1'!$C:$Q,13,0)</f>
        <v xml:space="preserve">Jung, Dawoon </v>
      </c>
      <c r="E158" s="16" t="str">
        <f>VLOOKUP($A158,'DB1'!$C:$Q,14,0)</f>
        <v>Environmental Health</v>
      </c>
      <c r="F158" s="16" t="str">
        <f>VLOOKUP($A158,'DB1'!$C:$Q,15,0)</f>
        <v>Atmospheric Environment</v>
      </c>
      <c r="G158" s="17">
        <f>VLOOKUP($A158,'DB1'!$C:$Q,9,0)</f>
        <v>45856</v>
      </c>
      <c r="H158" s="17">
        <f>VLOOKUP($A158,'DB1'!$C:$Q,10,0)</f>
        <v>46125</v>
      </c>
    </row>
    <row r="159" spans="1:8" ht="33">
      <c r="A159" t="str">
        <f>'DB1'!$C156</f>
        <v>2025-100</v>
      </c>
      <c r="B159" s="16" t="str" cm="1">
        <f t="array" ref="B159">_xlfn.IFS(LEFT($A159,2)='DB2'!$G$43,'DB2'!$F$43,LEFT($A159,2)='DB2'!$G$44,'DB2'!$F$44,LEFT($A159,2)='DB2'!$H$44,'DB2'!$F$44,LEFT($A159,2)='DB2'!$I$44,'DB2'!$F$44,LEFT($A159,2)='DB2'!$J$44,'DB2'!$F$44,LEFT($A159,2)='DB2'!$G$45,'DB2'!$F$45,LEFT($A159,2)='DB2'!$G$46,'DB2'!$F$46,LEFT($A159,2)=LEFT('DB2'!$G$47,2),'DB2'!$F$47)</f>
        <v xml:space="preserve">Commissioned Research </v>
      </c>
      <c r="C159" s="16" t="str">
        <f>VLOOKUP($A159,'DB1'!$C:$Q,12,0)</f>
        <v>Study on the Impact of Emissions on the Formation of Condensable Fine Particles</v>
      </c>
      <c r="D159" s="12" t="str">
        <f>VLOOKUP($A159,'DB1'!$C:$Q,13,0)</f>
        <v>Gong, Sungyong</v>
      </c>
      <c r="E159" s="16" t="str">
        <f>VLOOKUP($A159,'DB1'!$C:$Q,14,0)</f>
        <v>Atmospheric Environment</v>
      </c>
      <c r="F159" s="16" t="str">
        <f>VLOOKUP($A159,'DB1'!$C:$Q,15,0)</f>
        <v>Environmental Health</v>
      </c>
      <c r="G159" s="17">
        <f>VLOOKUP($A159,'DB1'!$C:$Q,9,0)</f>
        <v>45863</v>
      </c>
      <c r="H159" s="17">
        <f>VLOOKUP($A159,'DB1'!$C:$Q,10,0)</f>
        <v>46105</v>
      </c>
    </row>
    <row r="160" spans="1:8" ht="33">
      <c r="A160" t="str">
        <f>'DB1'!$C157</f>
        <v>2025-102</v>
      </c>
      <c r="B160" s="16" t="str" cm="1">
        <f t="array" ref="B160">_xlfn.IFS(LEFT($A160,2)='DB2'!$G$43,'DB2'!$F$43,LEFT($A160,2)='DB2'!$G$44,'DB2'!$F$44,LEFT($A160,2)='DB2'!$H$44,'DB2'!$F$44,LEFT($A160,2)='DB2'!$I$44,'DB2'!$F$44,LEFT($A160,2)='DB2'!$J$44,'DB2'!$F$44,LEFT($A160,2)='DB2'!$G$45,'DB2'!$F$45,LEFT($A160,2)='DB2'!$G$46,'DB2'!$F$46,LEFT($A160,2)=LEFT('DB2'!$G$47,2),'DB2'!$F$47)</f>
        <v xml:space="preserve">Commissioned Research </v>
      </c>
      <c r="C160" s="16" t="str">
        <f>VLOOKUP($A160,'DB1'!$C:$Q,12,0)</f>
        <v>Developing the Climate Change Research Roadmap (2026–2030) for the National Institute of Biological Resources under the Ministry of Environment</v>
      </c>
      <c r="D160" s="12" t="str">
        <f>VLOOKUP($A160,'DB1'!$C:$Q,13,0)</f>
        <v>Kim, Yoonjung</v>
      </c>
      <c r="E160" s="16" t="str">
        <f>VLOOKUP($A160,'DB1'!$C:$Q,14,0)</f>
        <v>Climate Adaptation</v>
      </c>
      <c r="F160" s="16" t="str">
        <f>VLOOKUP($A160,'DB1'!$C:$Q,15,0)</f>
        <v>Ecology</v>
      </c>
      <c r="G160" s="17">
        <f>VLOOKUP($A160,'DB1'!$C:$Q,9,0)</f>
        <v>45873</v>
      </c>
      <c r="H160" s="17">
        <f>VLOOKUP($A160,'DB1'!$C:$Q,10,0)</f>
        <v>46172</v>
      </c>
    </row>
    <row r="161" spans="1:8" ht="33">
      <c r="A161" t="str">
        <f>'DB1'!$C158</f>
        <v>2025-103</v>
      </c>
      <c r="B161" s="16" t="str" cm="1">
        <f t="array" ref="B161">_xlfn.IFS(LEFT($A161,2)='DB2'!$G$43,'DB2'!$F$43,LEFT($A161,2)='DB2'!$G$44,'DB2'!$F$44,LEFT($A161,2)='DB2'!$H$44,'DB2'!$F$44,LEFT($A161,2)='DB2'!$I$44,'DB2'!$F$44,LEFT($A161,2)='DB2'!$J$44,'DB2'!$F$44,LEFT($A161,2)='DB2'!$G$45,'DB2'!$F$45,LEFT($A161,2)='DB2'!$G$46,'DB2'!$F$46,LEFT($A161,2)=LEFT('DB2'!$G$47,2),'DB2'!$F$47)</f>
        <v xml:space="preserve">Commissioned Research </v>
      </c>
      <c r="C161" s="16" t="str">
        <f>VLOOKUP($A161,'DB1'!$C:$Q,12,0)</f>
        <v>Developing Policy Indicators for Statutory Plans of Groundwater Management</v>
      </c>
      <c r="D161" s="12" t="str">
        <f>VLOOKUP($A161,'DB1'!$C:$Q,13,0)</f>
        <v>Hyun, Yunjung</v>
      </c>
      <c r="E161" s="16" t="str">
        <f>VLOOKUP($A161,'DB1'!$C:$Q,14,0)</f>
        <v>Water Management</v>
      </c>
      <c r="F161" s="16">
        <f>VLOOKUP($A161,'DB1'!$C:$Q,15,0)</f>
        <v>0</v>
      </c>
      <c r="G161" s="17">
        <f>VLOOKUP($A161,'DB1'!$C:$Q,9,0)</f>
        <v>45877</v>
      </c>
      <c r="H161" s="17">
        <f>VLOOKUP($A161,'DB1'!$C:$Q,10,0)</f>
        <v>46241</v>
      </c>
    </row>
    <row r="162" spans="1:8">
      <c r="A162" t="str">
        <f>'DB1'!$C159</f>
        <v>BA2024-022-07</v>
      </c>
      <c r="B162" s="16" t="str" cm="1">
        <f t="array" ref="B162">_xlfn.IFS(LEFT($A162,2)='DB2'!$G$43,'DB2'!$F$43,LEFT($A162,2)='DB2'!$G$44,'DB2'!$F$44,LEFT($A162,2)='DB2'!$H$44,'DB2'!$F$44,LEFT($A162,2)='DB2'!$I$44,'DB2'!$F$44,LEFT($A162,2)='DB2'!$J$44,'DB2'!$F$44,LEFT($A162,2)='DB2'!$G$45,'DB2'!$F$45,LEFT($A162,2)='DB2'!$G$46,'DB2'!$F$46,LEFT($A162,2)=LEFT('DB2'!$G$47,2),'DB2'!$F$47)</f>
        <v>Working Paper</v>
      </c>
      <c r="C162" s="16" t="str">
        <f>VLOOKUP($A162,'DB1'!$C:$Q,12,0)</f>
        <v>International Trend Analysis of Circular Economy Implementation Assessment</v>
      </c>
      <c r="D162" s="12" t="str">
        <f>VLOOKUP($A162,'DB1'!$C:$Q,13,0)</f>
        <v>Lim, Hyesook</v>
      </c>
      <c r="E162" s="16" t="str">
        <f>VLOOKUP($A162,'DB1'!$C:$Q,14,0)</f>
        <v>Circular Economy</v>
      </c>
      <c r="F162" s="16">
        <f>VLOOKUP($A162,'DB1'!$C:$Q,15,0)</f>
        <v>0</v>
      </c>
      <c r="G162" s="17">
        <f>VLOOKUP($A162,'DB1'!$C:$Q,9,0)</f>
        <v>45658</v>
      </c>
      <c r="H162" s="17">
        <f>VLOOKUP($A162,'DB1'!$C:$Q,10,0)</f>
        <v>45716</v>
      </c>
    </row>
    <row r="163" spans="1:8" ht="33">
      <c r="A163" t="str">
        <f>'DB1'!$C160</f>
        <v>BA2024-022-08</v>
      </c>
      <c r="B163" s="16" t="str" cm="1">
        <f t="array" ref="B163">_xlfn.IFS(LEFT($A163,2)='DB2'!$G$43,'DB2'!$F$43,LEFT($A163,2)='DB2'!$G$44,'DB2'!$F$44,LEFT($A163,2)='DB2'!$H$44,'DB2'!$F$44,LEFT($A163,2)='DB2'!$I$44,'DB2'!$F$44,LEFT($A163,2)='DB2'!$J$44,'DB2'!$F$44,LEFT($A163,2)='DB2'!$G$45,'DB2'!$F$45,LEFT($A163,2)='DB2'!$G$46,'DB2'!$F$46,LEFT($A163,2)=LEFT('DB2'!$G$47,2),'DB2'!$F$47)</f>
        <v>Working Paper</v>
      </c>
      <c r="C163" s="16" t="str">
        <f>VLOOKUP($A163,'DB1'!$C:$Q,12,0)</f>
        <v>Global Policy Trends in Conservation and Sustainable Development of Islands</v>
      </c>
      <c r="D163" s="12" t="str">
        <f>VLOOKUP($A163,'DB1'!$C:$Q,13,0)</f>
        <v xml:space="preserve">Heo, Namjoo </v>
      </c>
      <c r="E163" s="16" t="str">
        <f>VLOOKUP($A163,'DB1'!$C:$Q,14,0)</f>
        <v>Land Management and Environment</v>
      </c>
      <c r="F163" s="16">
        <f>VLOOKUP($A163,'DB1'!$C:$Q,15,0)</f>
        <v>0</v>
      </c>
      <c r="G163" s="17">
        <f>VLOOKUP($A163,'DB1'!$C:$Q,9,0)</f>
        <v>45658</v>
      </c>
      <c r="H163" s="17">
        <f>VLOOKUP($A163,'DB1'!$C:$Q,10,0)</f>
        <v>45716</v>
      </c>
    </row>
    <row r="164" spans="1:8" ht="33">
      <c r="A164" t="str">
        <f>'DB1'!$C161</f>
        <v>BA2024-032-09</v>
      </c>
      <c r="B164" s="16" t="str" cm="1">
        <f t="array" ref="B164">_xlfn.IFS(LEFT($A164,2)='DB2'!$G$43,'DB2'!$F$43,LEFT($A164,2)='DB2'!$G$44,'DB2'!$F$44,LEFT($A164,2)='DB2'!$H$44,'DB2'!$F$44,LEFT($A164,2)='DB2'!$I$44,'DB2'!$F$44,LEFT($A164,2)='DB2'!$J$44,'DB2'!$F$44,LEFT($A164,2)='DB2'!$G$45,'DB2'!$F$45,LEFT($A164,2)='DB2'!$G$46,'DB2'!$F$46,LEFT($A164,2)=LEFT('DB2'!$G$47,2),'DB2'!$F$47)</f>
        <v>Working Paper</v>
      </c>
      <c r="C164" s="16" t="str">
        <f>VLOOKUP($A164,'DB1'!$C:$Q,12,0)</f>
        <v>Basic Research for the Formulation of the 4th Basic Plan for Conservation of Natural Environment (2026-2035)</v>
      </c>
      <c r="D164" s="12" t="str">
        <f>VLOOKUP($A164,'DB1'!$C:$Q,13,0)</f>
        <v>Hong, Hyunjung</v>
      </c>
      <c r="E164" s="16" t="str">
        <f>VLOOKUP($A164,'DB1'!$C:$Q,14,0)</f>
        <v>Land Management and Environment</v>
      </c>
      <c r="F164" s="16" t="str">
        <f>VLOOKUP($A164,'DB1'!$C:$Q,15,0)</f>
        <v>Ecology</v>
      </c>
      <c r="G164" s="17">
        <f>VLOOKUP($A164,'DB1'!$C:$Q,9,0)</f>
        <v>45658</v>
      </c>
      <c r="H164" s="17">
        <f>VLOOKUP($A164,'DB1'!$C:$Q,10,0)</f>
        <v>45747</v>
      </c>
    </row>
    <row r="165" spans="1:8" ht="33">
      <c r="A165" t="str">
        <f>'DB1'!$C162</f>
        <v>BA2024-032-10</v>
      </c>
      <c r="B165" s="16" t="str" cm="1">
        <f t="array" ref="B165">_xlfn.IFS(LEFT($A165,2)='DB2'!$G$43,'DB2'!$F$43,LEFT($A165,2)='DB2'!$G$44,'DB2'!$F$44,LEFT($A165,2)='DB2'!$H$44,'DB2'!$F$44,LEFT($A165,2)='DB2'!$I$44,'DB2'!$F$44,LEFT($A165,2)='DB2'!$J$44,'DB2'!$F$44,LEFT($A165,2)='DB2'!$G$45,'DB2'!$F$45,LEFT($A165,2)='DB2'!$G$46,'DB2'!$F$46,LEFT($A165,2)=LEFT('DB2'!$G$47,2),'DB2'!$F$47)</f>
        <v>Working Paper</v>
      </c>
      <c r="C165" s="16" t="str">
        <f>VLOOKUP($A165,'DB1'!$C:$Q,12,0)</f>
        <v>Analysis of Trends in the Application of Artificial Intelligence Technologies to Environmental Health Policy</v>
      </c>
      <c r="D165" s="12" t="str">
        <f>VLOOKUP($A165,'DB1'!$C:$Q,13,0)</f>
        <v xml:space="preserve"> Lim, Miyoung</v>
      </c>
      <c r="E165" s="16" t="str">
        <f>VLOOKUP($A165,'DB1'!$C:$Q,14,0)</f>
        <v>Environmental Health</v>
      </c>
      <c r="F165" s="16" t="str">
        <f>VLOOKUP($A165,'DB1'!$C:$Q,15,0)</f>
        <v>Environmental Informatics</v>
      </c>
      <c r="G165" s="17">
        <f>VLOOKUP($A165,'DB1'!$C:$Q,9,0)</f>
        <v>45658</v>
      </c>
      <c r="H165" s="17">
        <f>VLOOKUP($A165,'DB1'!$C:$Q,10,0)</f>
        <v>45808</v>
      </c>
    </row>
    <row r="166" spans="1:8" ht="33">
      <c r="A166" t="str">
        <f>'DB1'!$C163</f>
        <v>BA2024-032-11</v>
      </c>
      <c r="B166" s="16" t="str" cm="1">
        <f t="array" ref="B166">_xlfn.IFS(LEFT($A166,2)='DB2'!$G$43,'DB2'!$F$43,LEFT($A166,2)='DB2'!$G$44,'DB2'!$F$44,LEFT($A166,2)='DB2'!$H$44,'DB2'!$F$44,LEFT($A166,2)='DB2'!$I$44,'DB2'!$F$44,LEFT($A166,2)='DB2'!$J$44,'DB2'!$F$44,LEFT($A166,2)='DB2'!$G$45,'DB2'!$F$45,LEFT($A166,2)='DB2'!$G$46,'DB2'!$F$46,LEFT($A166,2)=LEFT('DB2'!$G$47,2),'DB2'!$F$47)</f>
        <v>Working Paper</v>
      </c>
      <c r="C166" s="16" t="str">
        <f>VLOOKUP($A166,'DB1'!$C:$Q,12,0)</f>
        <v>Analysis of the Utilization of AI Methodologies for Estimating Causal Relationships between Air Pollutants</v>
      </c>
      <c r="D166" s="12" t="str">
        <f>VLOOKUP($A166,'DB1'!$C:$Q,13,0)</f>
        <v xml:space="preserve">Kim, Doyeon </v>
      </c>
      <c r="E166" s="16" t="str">
        <f>VLOOKUP($A166,'DB1'!$C:$Q,14,0)</f>
        <v>Atmospheric Environment</v>
      </c>
      <c r="F166" s="16" t="str">
        <f>VLOOKUP($A166,'DB1'!$C:$Q,15,0)</f>
        <v>Environmental Informatics</v>
      </c>
      <c r="G166" s="17">
        <f>VLOOKUP($A166,'DB1'!$C:$Q,9,0)</f>
        <v>45658</v>
      </c>
      <c r="H166" s="17">
        <f>VLOOKUP($A166,'DB1'!$C:$Q,10,0)</f>
        <v>45808</v>
      </c>
    </row>
    <row r="167" spans="1:8">
      <c r="A167" t="str">
        <f>'DB1'!$C164</f>
        <v>BA2024-032-12</v>
      </c>
      <c r="B167" s="16" t="str" cm="1">
        <f t="array" ref="B167">_xlfn.IFS(LEFT($A167,2)='DB2'!$G$43,'DB2'!$F$43,LEFT($A167,2)='DB2'!$G$44,'DB2'!$F$44,LEFT($A167,2)='DB2'!$H$44,'DB2'!$F$44,LEFT($A167,2)='DB2'!$I$44,'DB2'!$F$44,LEFT($A167,2)='DB2'!$J$44,'DB2'!$F$44,LEFT($A167,2)='DB2'!$G$45,'DB2'!$F$45,LEFT($A167,2)='DB2'!$G$46,'DB2'!$F$46,LEFT($A167,2)=LEFT('DB2'!$G$47,2),'DB2'!$F$47)</f>
        <v>Working Paper</v>
      </c>
      <c r="C167" s="16" t="str">
        <f>VLOOKUP($A167,'DB1'!$C:$Q,12,0)</f>
        <v>A Comparative Study of Predictive Models for Assessing River Aquatic Ecosystem Health</v>
      </c>
      <c r="D167" s="12" t="str">
        <f>VLOOKUP($A167,'DB1'!$C:$Q,13,0)</f>
        <v>Choi, Mikyoung</v>
      </c>
      <c r="E167" s="16" t="str">
        <f>VLOOKUP($A167,'DB1'!$C:$Q,14,0)</f>
        <v>Water Management</v>
      </c>
      <c r="F167" s="16" t="str">
        <f>VLOOKUP($A167,'DB1'!$C:$Q,15,0)</f>
        <v>Ecology</v>
      </c>
      <c r="G167" s="17">
        <f>VLOOKUP($A167,'DB1'!$C:$Q,9,0)</f>
        <v>45658</v>
      </c>
      <c r="H167" s="17">
        <f>VLOOKUP($A167,'DB1'!$C:$Q,10,0)</f>
        <v>45808</v>
      </c>
    </row>
    <row r="168" spans="1:8" ht="33">
      <c r="A168" t="str">
        <f>'DB1'!$C165</f>
        <v>BA2024-032-13</v>
      </c>
      <c r="B168" s="16" t="str" cm="1">
        <f t="array" ref="B168">_xlfn.IFS(LEFT($A168,2)='DB2'!$G$43,'DB2'!$F$43,LEFT($A168,2)='DB2'!$G$44,'DB2'!$F$44,LEFT($A168,2)='DB2'!$H$44,'DB2'!$F$44,LEFT($A168,2)='DB2'!$I$44,'DB2'!$F$44,LEFT($A168,2)='DB2'!$J$44,'DB2'!$F$44,LEFT($A168,2)='DB2'!$G$45,'DB2'!$F$45,LEFT($A168,2)='DB2'!$G$46,'DB2'!$F$46,LEFT($A168,2)=LEFT('DB2'!$G$47,2),'DB2'!$F$47)</f>
        <v>Working Paper</v>
      </c>
      <c r="C168" s="16" t="str">
        <f>VLOOKUP($A168,'DB1'!$C:$Q,12,0)</f>
        <v>Integrated Approach to Linking Ecological and Hydrological Reviews in Follow-up Surveys of Environmental Impacts for Effective Aquatic Ecosystem Management</v>
      </c>
      <c r="D168" s="12" t="str">
        <f>VLOOKUP($A168,'DB1'!$C:$Q,13,0)</f>
        <v>Kang, Eugene</v>
      </c>
      <c r="E168" s="16" t="str">
        <f>VLOOKUP($A168,'DB1'!$C:$Q,14,0)</f>
        <v>Environmental Assessment</v>
      </c>
      <c r="F168" s="16" t="str">
        <f>VLOOKUP($A168,'DB1'!$C:$Q,15,0)</f>
        <v>Water Management</v>
      </c>
      <c r="G168" s="17">
        <f>VLOOKUP($A168,'DB1'!$C:$Q,9,0)</f>
        <v>45658</v>
      </c>
      <c r="H168" s="17">
        <f>VLOOKUP($A168,'DB1'!$C:$Q,10,0)</f>
        <v>45808</v>
      </c>
    </row>
    <row r="169" spans="1:8">
      <c r="A169" t="str">
        <f>'DB1'!$C166</f>
        <v>BA2025-010-01</v>
      </c>
      <c r="B169" s="16" t="str" cm="1">
        <f t="array" ref="B169">_xlfn.IFS(LEFT($A169,2)='DB2'!$G$43,'DB2'!$F$43,LEFT($A169,2)='DB2'!$G$44,'DB2'!$F$44,LEFT($A169,2)='DB2'!$H$44,'DB2'!$F$44,LEFT($A169,2)='DB2'!$I$44,'DB2'!$F$44,LEFT($A169,2)='DB2'!$J$44,'DB2'!$F$44,LEFT($A169,2)='DB2'!$G$45,'DB2'!$F$45,LEFT($A169,2)='DB2'!$G$46,'DB2'!$F$46,LEFT($A169,2)=LEFT('DB2'!$G$47,2),'DB2'!$F$47)</f>
        <v>Working Paper</v>
      </c>
      <c r="C169" s="16" t="str">
        <f>VLOOKUP($A169,'DB1'!$C:$Q,12,0)</f>
        <v>International Policy Trends on Circular Economy Implementation in the Construction Sector</v>
      </c>
      <c r="D169" s="12" t="str">
        <f>VLOOKUP($A169,'DB1'!$C:$Q,13,0)</f>
        <v>Lim, Hyesook</v>
      </c>
      <c r="E169" s="16" t="str">
        <f>VLOOKUP($A169,'DB1'!$C:$Q,14,0)</f>
        <v>Circular Economy</v>
      </c>
      <c r="F169" s="16">
        <f>VLOOKUP($A169,'DB1'!$C:$Q,15,0)</f>
        <v>0</v>
      </c>
      <c r="G169" s="17">
        <f>VLOOKUP($A169,'DB1'!$C:$Q,9,0)</f>
        <v>45720</v>
      </c>
      <c r="H169" s="17">
        <f>VLOOKUP($A169,'DB1'!$C:$Q,10,0)</f>
        <v>45903</v>
      </c>
    </row>
    <row r="170" spans="1:8">
      <c r="A170" t="str">
        <f>'DB1'!$C167</f>
        <v>BA2025-010-02</v>
      </c>
      <c r="B170" s="16" t="str" cm="1">
        <f t="array" ref="B170">_xlfn.IFS(LEFT($A170,2)='DB2'!$G$43,'DB2'!$F$43,LEFT($A170,2)='DB2'!$G$44,'DB2'!$F$44,LEFT($A170,2)='DB2'!$H$44,'DB2'!$F$44,LEFT($A170,2)='DB2'!$I$44,'DB2'!$F$44,LEFT($A170,2)='DB2'!$J$44,'DB2'!$F$44,LEFT($A170,2)='DB2'!$G$45,'DB2'!$F$45,LEFT($A170,2)='DB2'!$G$46,'DB2'!$F$46,LEFT($A170,2)=LEFT('DB2'!$G$47,2),'DB2'!$F$47)</f>
        <v>Working Paper</v>
      </c>
      <c r="C170" s="16" t="str">
        <f>VLOOKUP($A170,'DB1'!$C:$Q,12,0)</f>
        <v>Framework Development for Assessing Flood Risk Reduction of Coastal Green-Grey Infrastructure</v>
      </c>
      <c r="D170" s="12" t="str">
        <f>VLOOKUP($A170,'DB1'!$C:$Q,13,0)</f>
        <v>Kim, Yeonjoong</v>
      </c>
      <c r="E170" s="16" t="str">
        <f>VLOOKUP($A170,'DB1'!$C:$Q,14,0)</f>
        <v>Climate Adaptation</v>
      </c>
      <c r="F170" s="16" t="str">
        <f>VLOOKUP($A170,'DB1'!$C:$Q,15,0)</f>
        <v>Marine Environment</v>
      </c>
      <c r="G170" s="17">
        <f>VLOOKUP($A170,'DB1'!$C:$Q,9,0)</f>
        <v>45720</v>
      </c>
      <c r="H170" s="17">
        <f>VLOOKUP($A170,'DB1'!$C:$Q,10,0)</f>
        <v>45903</v>
      </c>
    </row>
    <row r="171" spans="1:8" ht="33">
      <c r="A171" t="str">
        <f>'DB1'!$C168</f>
        <v>BA2025-010-03</v>
      </c>
      <c r="B171" s="16" t="str" cm="1">
        <f t="array" ref="B171">_xlfn.IFS(LEFT($A171,2)='DB2'!$G$43,'DB2'!$F$43,LEFT($A171,2)='DB2'!$G$44,'DB2'!$F$44,LEFT($A171,2)='DB2'!$H$44,'DB2'!$F$44,LEFT($A171,2)='DB2'!$I$44,'DB2'!$F$44,LEFT($A171,2)='DB2'!$J$44,'DB2'!$F$44,LEFT($A171,2)='DB2'!$G$45,'DB2'!$F$45,LEFT($A171,2)='DB2'!$G$46,'DB2'!$F$46,LEFT($A171,2)=LEFT('DB2'!$G$47,2),'DB2'!$F$47)</f>
        <v>Working Paper</v>
      </c>
      <c r="C171" s="16" t="str">
        <f>VLOOKUP($A171,'DB1'!$C:$Q,12,0)</f>
        <v>From ESG to Natural Capital: Toward Integrated Disclosure Frameworks</v>
      </c>
      <c r="D171" s="12" t="str">
        <f>VLOOKUP($A171,'DB1'!$C:$Q,13,0)</f>
        <v xml:space="preserve">Kim, Hyunjung </v>
      </c>
      <c r="E171" s="16" t="str">
        <f>VLOOKUP($A171,'DB1'!$C:$Q,14,0)</f>
        <v>Environmental Economics</v>
      </c>
      <c r="F171" s="16" t="str">
        <f>VLOOKUP($A171,'DB1'!$C:$Q,15,0)</f>
        <v>Socio-Environmental Interface</v>
      </c>
      <c r="G171" s="17">
        <f>VLOOKUP($A171,'DB1'!$C:$Q,9,0)</f>
        <v>45720</v>
      </c>
      <c r="H171" s="17">
        <f>VLOOKUP($A171,'DB1'!$C:$Q,10,0)</f>
        <v>45903</v>
      </c>
    </row>
    <row r="172" spans="1:8" ht="33">
      <c r="A172" t="str">
        <f>'DB1'!$C169</f>
        <v>BA2025-020-04</v>
      </c>
      <c r="B172" s="16" t="str" cm="1">
        <f t="array" ref="B172">_xlfn.IFS(LEFT($A172,2)='DB2'!$G$43,'DB2'!$F$43,LEFT($A172,2)='DB2'!$G$44,'DB2'!$F$44,LEFT($A172,2)='DB2'!$H$44,'DB2'!$F$44,LEFT($A172,2)='DB2'!$I$44,'DB2'!$F$44,LEFT($A172,2)='DB2'!$J$44,'DB2'!$F$44,LEFT($A172,2)='DB2'!$G$45,'DB2'!$F$45,LEFT($A172,2)='DB2'!$G$46,'DB2'!$F$46,LEFT($A172,2)=LEFT('DB2'!$G$47,2),'DB2'!$F$47)</f>
        <v>Working Paper</v>
      </c>
      <c r="C172" s="16" t="str">
        <f>VLOOKUP($A172,'DB1'!$C:$Q,12,0)</f>
        <v>Application of Mitigation Measures for Freshwater Ecosystem in Environmental Impact Assessment</v>
      </c>
      <c r="D172" s="12" t="str">
        <f>VLOOKUP($A172,'DB1'!$C:$Q,13,0)</f>
        <v>Kim, Hyo Gyeom</v>
      </c>
      <c r="E172" s="16" t="str">
        <f>VLOOKUP($A172,'DB1'!$C:$Q,14,0)</f>
        <v>Environmental Assessment</v>
      </c>
      <c r="F172" s="16" t="str">
        <f>VLOOKUP($A172,'DB1'!$C:$Q,15,0)</f>
        <v>Water Management</v>
      </c>
      <c r="G172" s="17">
        <f>VLOOKUP($A172,'DB1'!$C:$Q,9,0)</f>
        <v>45810</v>
      </c>
      <c r="H172" s="17">
        <f>VLOOKUP($A172,'DB1'!$C:$Q,10,0)</f>
        <v>45992</v>
      </c>
    </row>
    <row r="173" spans="1:8" ht="33">
      <c r="A173" t="str">
        <f>'DB1'!$C170</f>
        <v>BA2025-020-05</v>
      </c>
      <c r="B173" s="16" t="str" cm="1">
        <f t="array" ref="B173">_xlfn.IFS(LEFT($A173,2)='DB2'!$G$43,'DB2'!$F$43,LEFT($A173,2)='DB2'!$G$44,'DB2'!$F$44,LEFT($A173,2)='DB2'!$H$44,'DB2'!$F$44,LEFT($A173,2)='DB2'!$I$44,'DB2'!$F$44,LEFT($A173,2)='DB2'!$J$44,'DB2'!$F$44,LEFT($A173,2)='DB2'!$G$45,'DB2'!$F$45,LEFT($A173,2)='DB2'!$G$46,'DB2'!$F$46,LEFT($A173,2)=LEFT('DB2'!$G$47,2),'DB2'!$F$47)</f>
        <v>Working Paper</v>
      </c>
      <c r="C173" s="16" t="str">
        <f>VLOOKUP($A173,'DB1'!$C:$Q,12,0)</f>
        <v>Trends and Prospects of Artificial Intelligence-Based Technologies for Biodiversity Survey</v>
      </c>
      <c r="D173" s="12" t="str">
        <f>VLOOKUP($A173,'DB1'!$C:$Q,13,0)</f>
        <v>Choi, Yuyoung</v>
      </c>
      <c r="E173" s="16" t="str">
        <f>VLOOKUP($A173,'DB1'!$C:$Q,14,0)</f>
        <v>Environmental Informatics</v>
      </c>
      <c r="F173" s="16" t="str">
        <f>VLOOKUP($A173,'DB1'!$C:$Q,15,0)</f>
        <v>Ecology</v>
      </c>
      <c r="G173" s="17">
        <f>VLOOKUP($A173,'DB1'!$C:$Q,9,0)</f>
        <v>45810</v>
      </c>
      <c r="H173" s="17">
        <f>VLOOKUP($A173,'DB1'!$C:$Q,10,0)</f>
        <v>45992</v>
      </c>
    </row>
    <row r="174" spans="1:8" ht="49.5">
      <c r="A174" t="str">
        <f>'DB1'!$C171</f>
        <v>GP2025-01</v>
      </c>
      <c r="B174" s="16" t="str" cm="1">
        <f t="array" ref="B174">_xlfn.IFS(LEFT($A174,2)='DB2'!$G$43,'DB2'!$F$43,LEFT($A174,2)='DB2'!$G$44,'DB2'!$F$44,LEFT($A174,2)='DB2'!$H$44,'DB2'!$F$44,LEFT($A174,2)='DB2'!$I$44,'DB2'!$F$44,LEFT($A174,2)='DB2'!$J$44,'DB2'!$F$44,LEFT($A174,2)='DB2'!$G$45,'DB2'!$F$45,LEFT($A174,2)='DB2'!$G$46,'DB2'!$F$46,LEFT($A174,2)=LEFT('DB2'!$G$47,2),'DB2'!$F$47)</f>
        <v>General Project</v>
      </c>
      <c r="C174" s="16" t="str">
        <f>VLOOKUP($A174,'DB1'!$C:$Q,12,0)</f>
        <v>Management of the Earth Environmental Information Center</v>
      </c>
      <c r="D174" s="12" t="str">
        <f>VLOOKUP($A174,'DB1'!$C:$Q,13,0)</f>
        <v>Park, Jun Hyun</v>
      </c>
      <c r="E174" s="16" t="str">
        <f>VLOOKUP($A174,'DB1'!$C:$Q,14,0)</f>
        <v>Environmental Informatics</v>
      </c>
      <c r="F174" s="16" t="str">
        <f>VLOOKUP($A174,'DB1'!$C:$Q,15,0)</f>
        <v>International &amp; Regional Collaboration</v>
      </c>
      <c r="G174" s="17">
        <f>VLOOKUP($A174,'DB1'!$C:$Q,9,0)</f>
        <v>45658</v>
      </c>
      <c r="H174" s="17">
        <f>VLOOKUP($A174,'DB1'!$C:$Q,10,0)</f>
        <v>46022</v>
      </c>
    </row>
    <row r="175" spans="1:8" ht="33">
      <c r="A175" t="str">
        <f>'DB1'!$C172</f>
        <v>GP2025-02</v>
      </c>
      <c r="B175" s="16" t="str" cm="1">
        <f t="array" ref="B175">_xlfn.IFS(LEFT($A175,2)='DB2'!$G$43,'DB2'!$F$43,LEFT($A175,2)='DB2'!$G$44,'DB2'!$F$44,LEFT($A175,2)='DB2'!$H$44,'DB2'!$F$44,LEFT($A175,2)='DB2'!$I$44,'DB2'!$F$44,LEFT($A175,2)='DB2'!$J$44,'DB2'!$F$44,LEFT($A175,2)='DB2'!$G$45,'DB2'!$F$45,LEFT($A175,2)='DB2'!$G$46,'DB2'!$F$46,LEFT($A175,2)=LEFT('DB2'!$G$47,2),'DB2'!$F$47)</f>
        <v>General Project</v>
      </c>
      <c r="C175" s="16" t="str">
        <f>VLOOKUP($A175,'DB1'!$C:$Q,12,0)</f>
        <v>Management of the National Land Environmental Information Network System</v>
      </c>
      <c r="D175" s="12" t="str">
        <f>VLOOKUP($A175,'DB1'!$C:$Q,13,0)</f>
        <v>Yoon, Jeongho</v>
      </c>
      <c r="E175" s="16" t="str">
        <f>VLOOKUP($A175,'DB1'!$C:$Q,14,0)</f>
        <v>Environmental Informatics</v>
      </c>
      <c r="F175" s="16" t="str">
        <f>VLOOKUP($A175,'DB1'!$C:$Q,15,0)</f>
        <v>Land Management and Environment</v>
      </c>
      <c r="G175" s="17">
        <f>VLOOKUP($A175,'DB1'!$C:$Q,9,0)</f>
        <v>45658</v>
      </c>
      <c r="H175" s="17">
        <f>VLOOKUP($A175,'DB1'!$C:$Q,10,0)</f>
        <v>46022</v>
      </c>
    </row>
    <row r="176" spans="1:8" ht="33">
      <c r="A176" t="str">
        <f>'DB1'!$C173</f>
        <v>GP2025-03</v>
      </c>
      <c r="B176" s="16" t="str" cm="1">
        <f t="array" ref="B176">_xlfn.IFS(LEFT($A176,2)='DB2'!$G$43,'DB2'!$F$43,LEFT($A176,2)='DB2'!$G$44,'DB2'!$F$44,LEFT($A176,2)='DB2'!$H$44,'DB2'!$F$44,LEFT($A176,2)='DB2'!$I$44,'DB2'!$F$44,LEFT($A176,2)='DB2'!$J$44,'DB2'!$F$44,LEFT($A176,2)='DB2'!$G$45,'DB2'!$F$45,LEFT($A176,2)='DB2'!$G$46,'DB2'!$F$46,LEFT($A176,2)=LEFT('DB2'!$G$47,2),'DB2'!$F$47)</f>
        <v>General Project</v>
      </c>
      <c r="C176" s="16" t="str">
        <f>VLOOKUP($A176,'DB1'!$C:$Q,12,0)</f>
        <v>Management of the Environment E-Learning Center</v>
      </c>
      <c r="D176" s="12" t="str">
        <f>VLOOKUP($A176,'DB1'!$C:$Q,13,0)</f>
        <v>Cho, Kongjang</v>
      </c>
      <c r="E176" s="16" t="str">
        <f>VLOOKUP($A176,'DB1'!$C:$Q,14,0)</f>
        <v>Environmental Informatics</v>
      </c>
      <c r="F176" s="16" t="str">
        <f>VLOOKUP($A176,'DB1'!$C:$Q,15,0)</f>
        <v>Socio-Environmental Interface</v>
      </c>
      <c r="G176" s="17">
        <f>VLOOKUP($A176,'DB1'!$C:$Q,9,0)</f>
        <v>45658</v>
      </c>
      <c r="H176" s="17">
        <f>VLOOKUP($A176,'DB1'!$C:$Q,10,0)</f>
        <v>46022</v>
      </c>
    </row>
    <row r="177" spans="1:8">
      <c r="A177" t="str">
        <f>'DB1'!$C174</f>
        <v>GP2025-04</v>
      </c>
      <c r="B177" s="16" t="str" cm="1">
        <f t="array" ref="B177">_xlfn.IFS(LEFT($A177,2)='DB2'!$G$43,'DB2'!$F$43,LEFT($A177,2)='DB2'!$G$44,'DB2'!$F$44,LEFT($A177,2)='DB2'!$H$44,'DB2'!$F$44,LEFT($A177,2)='DB2'!$I$44,'DB2'!$F$44,LEFT($A177,2)='DB2'!$J$44,'DB2'!$F$44,LEFT($A177,2)='DB2'!$G$45,'DB2'!$F$45,LEFT($A177,2)='DB2'!$G$46,'DB2'!$F$46,LEFT($A177,2)=LEFT('DB2'!$G$47,2),'DB2'!$F$47)</f>
        <v>General Project</v>
      </c>
      <c r="C177" s="16" t="str">
        <f>VLOOKUP($A177,'DB1'!$C:$Q,12,0)</f>
        <v>Building and Assessing Adaptive Capacity to Climate Change for the National Risk Management</v>
      </c>
      <c r="D177" s="12" t="str">
        <f>VLOOKUP($A177,'DB1'!$C:$Q,13,0)</f>
        <v>Jung, Huicheul</v>
      </c>
      <c r="E177" s="16" t="str">
        <f>VLOOKUP($A177,'DB1'!$C:$Q,14,0)</f>
        <v>Climate Adaptation</v>
      </c>
      <c r="F177" s="16">
        <f>VLOOKUP($A177,'DB1'!$C:$Q,15,0)</f>
        <v>0</v>
      </c>
      <c r="G177" s="17">
        <f>VLOOKUP($A177,'DB1'!$C:$Q,9,0)</f>
        <v>45658</v>
      </c>
      <c r="H177" s="17">
        <f>VLOOKUP($A177,'DB1'!$C:$Q,10,0)</f>
        <v>46022</v>
      </c>
    </row>
    <row r="178" spans="1:8" ht="33">
      <c r="A178" t="str">
        <f>'DB1'!$C175</f>
        <v>GP2025-05</v>
      </c>
      <c r="B178" s="16" t="str" cm="1">
        <f t="array" ref="B178">_xlfn.IFS(LEFT($A178,2)='DB2'!$G$43,'DB2'!$F$43,LEFT($A178,2)='DB2'!$G$44,'DB2'!$F$44,LEFT($A178,2)='DB2'!$H$44,'DB2'!$F$44,LEFT($A178,2)='DB2'!$I$44,'DB2'!$F$44,LEFT($A178,2)='DB2'!$J$44,'DB2'!$F$44,LEFT($A178,2)='DB2'!$G$45,'DB2'!$F$45,LEFT($A178,2)='DB2'!$G$46,'DB2'!$F$46,LEFT($A178,2)=LEFT('DB2'!$G$47,2),'DB2'!$F$47)</f>
        <v>General Project</v>
      </c>
      <c r="C178" s="16" t="str">
        <f>VLOOKUP($A178,'DB1'!$C:$Q,12,0)</f>
        <v>Environmental Assessment Monitoring Project</v>
      </c>
      <c r="D178" s="12" t="str">
        <f>VLOOKUP($A178,'DB1'!$C:$Q,13,0)</f>
        <v>Lee, Sangbum</v>
      </c>
      <c r="E178" s="16" t="str">
        <f>VLOOKUP($A178,'DB1'!$C:$Q,14,0)</f>
        <v>Environmental Assessment</v>
      </c>
      <c r="F178" s="16" t="str">
        <f>VLOOKUP($A178,'DB1'!$C:$Q,15,0)</f>
        <v>Environmental Informatics</v>
      </c>
      <c r="G178" s="17">
        <f>VLOOKUP($A178,'DB1'!$C:$Q,9,0)</f>
        <v>45658</v>
      </c>
      <c r="H178" s="17">
        <f>VLOOKUP($A178,'DB1'!$C:$Q,10,0)</f>
        <v>46022</v>
      </c>
    </row>
    <row r="179" spans="1:8" ht="33">
      <c r="A179" t="str">
        <f>'DB1'!$C176</f>
        <v>GP2025-06</v>
      </c>
      <c r="B179" s="16" t="str" cm="1">
        <f t="array" ref="B179">_xlfn.IFS(LEFT($A179,2)='DB2'!$G$43,'DB2'!$F$43,LEFT($A179,2)='DB2'!$G$44,'DB2'!$F$44,LEFT($A179,2)='DB2'!$H$44,'DB2'!$F$44,LEFT($A179,2)='DB2'!$I$44,'DB2'!$F$44,LEFT($A179,2)='DB2'!$J$44,'DB2'!$F$44,LEFT($A179,2)='DB2'!$G$45,'DB2'!$F$45,LEFT($A179,2)='DB2'!$G$46,'DB2'!$F$46,LEFT($A179,2)=LEFT('DB2'!$G$47,2),'DB2'!$F$47)</f>
        <v>General Project</v>
      </c>
      <c r="C179" s="16" t="str">
        <f>VLOOKUP($A179,'DB1'!$C:$Q,12,0)</f>
        <v>Review and Methodological Study of Climate Change Impact Assessment</v>
      </c>
      <c r="D179" s="12" t="str">
        <f>VLOOKUP($A179,'DB1'!$C:$Q,13,0)</f>
        <v>Lee, Sangbum</v>
      </c>
      <c r="E179" s="16" t="str">
        <f>VLOOKUP($A179,'DB1'!$C:$Q,14,0)</f>
        <v>Environmental Assessment</v>
      </c>
      <c r="F179" s="16" t="str">
        <f>VLOOKUP($A179,'DB1'!$C:$Q,15,0)</f>
        <v>Climate Adaptation</v>
      </c>
      <c r="G179" s="17">
        <f>VLOOKUP($A179,'DB1'!$C:$Q,9,0)</f>
        <v>45658</v>
      </c>
      <c r="H179" s="17">
        <f>VLOOKUP($A179,'DB1'!$C:$Q,10,0)</f>
        <v>46022</v>
      </c>
    </row>
    <row r="180" spans="1:8" ht="33">
      <c r="A180" t="str">
        <f>'DB1'!$C177</f>
        <v>GP2025-07</v>
      </c>
      <c r="B180" s="16" t="str" cm="1">
        <f t="array" ref="B180">_xlfn.IFS(LEFT($A180,2)='DB2'!$G$43,'DB2'!$F$43,LEFT($A180,2)='DB2'!$G$44,'DB2'!$F$44,LEFT($A180,2)='DB2'!$H$44,'DB2'!$F$44,LEFT($A180,2)='DB2'!$I$44,'DB2'!$F$44,LEFT($A180,2)='DB2'!$J$44,'DB2'!$F$44,LEFT($A180,2)='DB2'!$G$45,'DB2'!$F$45,LEFT($A180,2)='DB2'!$G$46,'DB2'!$F$46,LEFT($A180,2)=LEFT('DB2'!$G$47,2),'DB2'!$F$47)</f>
        <v>General Project</v>
      </c>
      <c r="C180" s="16" t="str">
        <f>VLOOKUP($A180,'DB1'!$C:$Q,12,0)</f>
        <v xml:space="preserve">Advancing ESG Practices and Enhancing Environmental Regulation Efficiency in Korea </v>
      </c>
      <c r="D180" s="12" t="str">
        <f>VLOOKUP($A180,'DB1'!$C:$Q,13,0)</f>
        <v>Kim, Hoseok</v>
      </c>
      <c r="E180" s="16" t="str">
        <f>VLOOKUP($A180,'DB1'!$C:$Q,14,0)</f>
        <v>Environmental Economics</v>
      </c>
      <c r="F180" s="16" t="str">
        <f>VLOOKUP($A180,'DB1'!$C:$Q,15,0)</f>
        <v>Socio-Environmental Interface</v>
      </c>
      <c r="G180" s="17">
        <f>VLOOKUP($A180,'DB1'!$C:$Q,9,0)</f>
        <v>45658</v>
      </c>
      <c r="H180" s="17">
        <f>VLOOKUP($A180,'DB1'!$C:$Q,10,0)</f>
        <v>46022</v>
      </c>
    </row>
    <row r="181" spans="1:8" ht="33">
      <c r="A181" t="str">
        <f>'DB1'!$C178</f>
        <v>GP2025-08</v>
      </c>
      <c r="B181" s="16" t="str" cm="1">
        <f t="array" ref="B181">_xlfn.IFS(LEFT($A181,2)='DB2'!$G$43,'DB2'!$F$43,LEFT($A181,2)='DB2'!$G$44,'DB2'!$F$44,LEFT($A181,2)='DB2'!$H$44,'DB2'!$F$44,LEFT($A181,2)='DB2'!$I$44,'DB2'!$F$44,LEFT($A181,2)='DB2'!$J$44,'DB2'!$F$44,LEFT($A181,2)='DB2'!$G$45,'DB2'!$F$45,LEFT($A181,2)='DB2'!$G$46,'DB2'!$F$46,LEFT($A181,2)=LEFT('DB2'!$G$47,2),'DB2'!$F$47)</f>
        <v>General Project</v>
      </c>
      <c r="C181" s="16" t="str">
        <f>VLOOKUP($A181,'DB1'!$C:$Q,12,0)</f>
        <v>Water Policy Outlook Based on Integrated Analysis of Water, Environment, and Economy</v>
      </c>
      <c r="D181" s="12" t="str">
        <f>VLOOKUP($A181,'DB1'!$C:$Q,13,0)</f>
        <v>Ryu, Jaena</v>
      </c>
      <c r="E181" s="16" t="str">
        <f>VLOOKUP($A181,'DB1'!$C:$Q,14,0)</f>
        <v>Water Management</v>
      </c>
      <c r="F181" s="16" t="str">
        <f>VLOOKUP($A181,'DB1'!$C:$Q,15,0)</f>
        <v>Environmental Economics</v>
      </c>
      <c r="G181" s="17">
        <f>VLOOKUP($A181,'DB1'!$C:$Q,9,0)</f>
        <v>45658</v>
      </c>
      <c r="H181" s="17">
        <f>VLOOKUP($A181,'DB1'!$C:$Q,10,0)</f>
        <v>46022</v>
      </c>
    </row>
    <row r="182" spans="1:8" ht="33">
      <c r="A182" t="str">
        <f>'DB1'!$C179</f>
        <v>GP2025-09</v>
      </c>
      <c r="B182" s="16" t="str" cm="1">
        <f t="array" ref="B182">_xlfn.IFS(LEFT($A182,2)='DB2'!$G$43,'DB2'!$F$43,LEFT($A182,2)='DB2'!$G$44,'DB2'!$F$44,LEFT($A182,2)='DB2'!$H$44,'DB2'!$F$44,LEFT($A182,2)='DB2'!$I$44,'DB2'!$F$44,LEFT($A182,2)='DB2'!$J$44,'DB2'!$F$44,LEFT($A182,2)='DB2'!$G$45,'DB2'!$F$45,LEFT($A182,2)='DB2'!$G$46,'DB2'!$F$46,LEFT($A182,2)=LEFT('DB2'!$G$47,2),'DB2'!$F$47)</f>
        <v>General Project</v>
      </c>
      <c r="C182" s="16" t="str">
        <f>VLOOKUP($A182,'DB1'!$C:$Q,12,0)</f>
        <v>Research on the Circularity and Life Cycle Environmental Impacts of Plastics in Response to Global Environmental Regulations</v>
      </c>
      <c r="D182" s="12" t="str">
        <f>VLOOKUP($A182,'DB1'!$C:$Q,13,0)</f>
        <v xml:space="preserve">Yi, Sora </v>
      </c>
      <c r="E182" s="16" t="str">
        <f>VLOOKUP($A182,'DB1'!$C:$Q,14,0)</f>
        <v>Circular Economy</v>
      </c>
      <c r="F182" s="16">
        <f>VLOOKUP($A182,'DB1'!$C:$Q,15,0)</f>
        <v>0</v>
      </c>
      <c r="G182" s="17">
        <f>VLOOKUP($A182,'DB1'!$C:$Q,9,0)</f>
        <v>45658</v>
      </c>
      <c r="H182" s="17">
        <f>VLOOKUP($A182,'DB1'!$C:$Q,10,0)</f>
        <v>46022</v>
      </c>
    </row>
    <row r="183" spans="1:8" ht="33">
      <c r="A183" t="str">
        <f>'DB1'!$C180</f>
        <v>GP2025-10</v>
      </c>
      <c r="B183" s="16" t="str" cm="1">
        <f t="array" ref="B183">_xlfn.IFS(LEFT($A183,2)='DB2'!$G$43,'DB2'!$F$43,LEFT($A183,2)='DB2'!$G$44,'DB2'!$F$44,LEFT($A183,2)='DB2'!$H$44,'DB2'!$F$44,LEFT($A183,2)='DB2'!$I$44,'DB2'!$F$44,LEFT($A183,2)='DB2'!$J$44,'DB2'!$F$44,LEFT($A183,2)='DB2'!$G$45,'DB2'!$F$45,LEFT($A183,2)='DB2'!$G$46,'DB2'!$F$46,LEFT($A183,2)=LEFT('DB2'!$G$47,2),'DB2'!$F$47)</f>
        <v>General Project</v>
      </c>
      <c r="C183" s="16" t="str">
        <f>VLOOKUP($A183,'DB1'!$C:$Q,12,0)</f>
        <v>Policy Development for Establishing Ecosystem Accounts and Mainstreaming Biodiversity Conservation</v>
      </c>
      <c r="D183" s="12" t="str">
        <f>VLOOKUP($A183,'DB1'!$C:$Q,13,0)</f>
        <v>Lee, Who-Seung</v>
      </c>
      <c r="E183" s="16" t="str">
        <f>VLOOKUP($A183,'DB1'!$C:$Q,14,0)</f>
        <v>Ecology</v>
      </c>
      <c r="F183" s="16" t="str">
        <f>VLOOKUP($A183,'DB1'!$C:$Q,15,0)</f>
        <v>Environmental Economics</v>
      </c>
      <c r="G183" s="17">
        <f>VLOOKUP($A183,'DB1'!$C:$Q,9,0)</f>
        <v>45658</v>
      </c>
      <c r="H183" s="17">
        <f>VLOOKUP($A183,'DB1'!$C:$Q,10,0)</f>
        <v>46022</v>
      </c>
    </row>
    <row r="184" spans="1:8" ht="33">
      <c r="A184" t="str">
        <f>'DB1'!$C181</f>
        <v>GP2025-11</v>
      </c>
      <c r="B184" s="16" t="str" cm="1">
        <f t="array" ref="B184">_xlfn.IFS(LEFT($A184,2)='DB2'!$G$43,'DB2'!$F$43,LEFT($A184,2)='DB2'!$G$44,'DB2'!$F$44,LEFT($A184,2)='DB2'!$H$44,'DB2'!$F$44,LEFT($A184,2)='DB2'!$I$44,'DB2'!$F$44,LEFT($A184,2)='DB2'!$J$44,'DB2'!$F$44,LEFT($A184,2)='DB2'!$G$45,'DB2'!$F$45,LEFT($A184,2)='DB2'!$G$46,'DB2'!$F$46,LEFT($A184,2)=LEFT('DB2'!$G$47,2),'DB2'!$F$47)</f>
        <v>General Project</v>
      </c>
      <c r="C184" s="16" t="str">
        <f>VLOOKUP($A184,'DB1'!$C:$Q,12,0)</f>
        <v>Development of an Integrated Diagnostic System for Enhancing the Effectiveness of Environmental Assessment</v>
      </c>
      <c r="D184" s="12" t="str">
        <f>VLOOKUP($A184,'DB1'!$C:$Q,13,0)</f>
        <v>Park, Taeho</v>
      </c>
      <c r="E184" s="16" t="str">
        <f>VLOOKUP($A184,'DB1'!$C:$Q,14,0)</f>
        <v>Environmental Assessment</v>
      </c>
      <c r="F184" s="16" t="str">
        <f>VLOOKUP($A184,'DB1'!$C:$Q,15,0)</f>
        <v>Environmental Informatics</v>
      </c>
      <c r="G184" s="17">
        <f>VLOOKUP($A184,'DB1'!$C:$Q,9,0)</f>
        <v>45658</v>
      </c>
      <c r="H184" s="17">
        <f>VLOOKUP($A184,'DB1'!$C:$Q,10,0)</f>
        <v>46022</v>
      </c>
    </row>
    <row r="185" spans="1:8" ht="33">
      <c r="A185" t="str">
        <f>'DB1'!$C182</f>
        <v>GP2025-12</v>
      </c>
      <c r="B185" s="16" t="str" cm="1">
        <f t="array" ref="B185">_xlfn.IFS(LEFT($A185,2)='DB2'!$G$43,'DB2'!$F$43,LEFT($A185,2)='DB2'!$G$44,'DB2'!$F$44,LEFT($A185,2)='DB2'!$H$44,'DB2'!$F$44,LEFT($A185,2)='DB2'!$I$44,'DB2'!$F$44,LEFT($A185,2)='DB2'!$J$44,'DB2'!$F$44,LEFT($A185,2)='DB2'!$G$45,'DB2'!$F$45,LEFT($A185,2)='DB2'!$G$46,'DB2'!$F$46,LEFT($A185,2)=LEFT('DB2'!$G$47,2),'DB2'!$F$47)</f>
        <v>General Project</v>
      </c>
      <c r="C185" s="16" t="str">
        <f>VLOOKUP($A185,'DB1'!$C:$Q,12,0)</f>
        <v>Collaborative Research on the Green Economy</v>
      </c>
      <c r="D185" s="12" t="str">
        <f>VLOOKUP($A185,'DB1'!$C:$Q,13,0)</f>
        <v>Suh, Yang-won</v>
      </c>
      <c r="E185" s="16" t="str">
        <f>VLOOKUP($A185,'DB1'!$C:$Q,14,0)</f>
        <v>Environmental Economics</v>
      </c>
      <c r="F185" s="16">
        <f>VLOOKUP($A185,'DB1'!$C:$Q,15,0)</f>
        <v>0</v>
      </c>
      <c r="G185" s="17">
        <f>VLOOKUP($A185,'DB1'!$C:$Q,9,0)</f>
        <v>45658</v>
      </c>
      <c r="H185" s="17">
        <f>VLOOKUP($A185,'DB1'!$C:$Q,10,0)</f>
        <v>46022</v>
      </c>
    </row>
    <row r="186" spans="1:8" ht="33">
      <c r="A186" t="str">
        <f>'DB1'!$C183</f>
        <v>RE2025-01</v>
      </c>
      <c r="B186" s="16" t="str" cm="1">
        <f t="array" ref="B186">_xlfn.IFS(LEFT($A186,2)='DB2'!$G$43,'DB2'!$F$43,LEFT($A186,2)='DB2'!$G$44,'DB2'!$F$44,LEFT($A186,2)='DB2'!$H$44,'DB2'!$F$44,LEFT($A186,2)='DB2'!$I$44,'DB2'!$F$44,LEFT($A186,2)='DB2'!$J$44,'DB2'!$F$44,LEFT($A186,2)='DB2'!$G$45,'DB2'!$F$45,LEFT($A186,2)='DB2'!$G$46,'DB2'!$F$46,LEFT($A186,2)=LEFT('DB2'!$G$47,2),'DB2'!$F$47)</f>
        <v>Core Research</v>
      </c>
      <c r="C186" s="16" t="str">
        <f>VLOOKUP($A186,'DB1'!$C:$Q,12,0)</f>
        <v>Policy Improvements for Managing Human–Wildlife Conflicts in Daily Life</v>
      </c>
      <c r="D186" s="12" t="str">
        <f>VLOOKUP($A186,'DB1'!$C:$Q,13,0)</f>
        <v>Hong, Hyunjung</v>
      </c>
      <c r="E186" s="16" t="str">
        <f>VLOOKUP($A186,'DB1'!$C:$Q,14,0)</f>
        <v>Socio-Environmental Interface</v>
      </c>
      <c r="F186" s="16" t="str">
        <f>VLOOKUP($A186,'DB1'!$C:$Q,15,0)</f>
        <v>Ecology</v>
      </c>
      <c r="G186" s="17">
        <f>VLOOKUP($A186,'DB1'!$C:$Q,9,0)</f>
        <v>45658</v>
      </c>
      <c r="H186" s="17">
        <f>VLOOKUP($A186,'DB1'!$C:$Q,10,0)</f>
        <v>45961</v>
      </c>
    </row>
    <row r="187" spans="1:8" ht="33">
      <c r="A187" t="str">
        <f>'DB1'!$C184</f>
        <v>RE2025-02</v>
      </c>
      <c r="B187" s="16" t="str" cm="1">
        <f t="array" ref="B187">_xlfn.IFS(LEFT($A187,2)='DB2'!$G$43,'DB2'!$F$43,LEFT($A187,2)='DB2'!$G$44,'DB2'!$F$44,LEFT($A187,2)='DB2'!$H$44,'DB2'!$F$44,LEFT($A187,2)='DB2'!$I$44,'DB2'!$F$44,LEFT($A187,2)='DB2'!$J$44,'DB2'!$F$44,LEFT($A187,2)='DB2'!$G$45,'DB2'!$F$45,LEFT($A187,2)='DB2'!$G$46,'DB2'!$F$46,LEFT($A187,2)=LEFT('DB2'!$G$47,2),'DB2'!$F$47)</f>
        <v>Core Research</v>
      </c>
      <c r="C187" s="16" t="str">
        <f>VLOOKUP($A187,'DB1'!$C:$Q,12,0)</f>
        <v>Policy Reforms for Submarine Cables to Support Offshore Wind Expansion</v>
      </c>
      <c r="D187" s="12" t="str">
        <f>VLOOKUP($A187,'DB1'!$C:$Q,13,0)</f>
        <v>Lee, Jae-hyuck</v>
      </c>
      <c r="E187" s="16" t="str">
        <f>VLOOKUP($A187,'DB1'!$C:$Q,14,0)</f>
        <v>Climate Environment (GHG Reduction)</v>
      </c>
      <c r="F187" s="16" t="str">
        <f>VLOOKUP($A187,'DB1'!$C:$Q,15,0)</f>
        <v>Marine Environment</v>
      </c>
      <c r="G187" s="17">
        <f>VLOOKUP($A187,'DB1'!$C:$Q,9,0)</f>
        <v>45658</v>
      </c>
      <c r="H187" s="17">
        <f>VLOOKUP($A187,'DB1'!$C:$Q,10,0)</f>
        <v>45961</v>
      </c>
    </row>
    <row r="188" spans="1:8" ht="33">
      <c r="A188" t="str">
        <f>'DB1'!$C185</f>
        <v>RE2025-03</v>
      </c>
      <c r="B188" s="16" t="str" cm="1">
        <f t="array" ref="B188">_xlfn.IFS(LEFT($A188,2)='DB2'!$G$43,'DB2'!$F$43,LEFT($A188,2)='DB2'!$G$44,'DB2'!$F$44,LEFT($A188,2)='DB2'!$H$44,'DB2'!$F$44,LEFT($A188,2)='DB2'!$I$44,'DB2'!$F$44,LEFT($A188,2)='DB2'!$J$44,'DB2'!$F$44,LEFT($A188,2)='DB2'!$G$45,'DB2'!$F$45,LEFT($A188,2)='DB2'!$G$46,'DB2'!$F$46,LEFT($A188,2)=LEFT('DB2'!$G$47,2),'DB2'!$F$47)</f>
        <v>Core Research</v>
      </c>
      <c r="C188" s="16" t="str">
        <f>VLOOKUP($A188,'DB1'!$C:$Q,12,0)</f>
        <v>Follow-up Management for Effective Climate Change Impact Assessment: Implementation and Oversight of Agreements in Urban Development Projects</v>
      </c>
      <c r="D188" s="12" t="str">
        <f>VLOOKUP($A188,'DB1'!$C:$Q,13,0)</f>
        <v>Kim, Yumi</v>
      </c>
      <c r="E188" s="16" t="str">
        <f>VLOOKUP($A188,'DB1'!$C:$Q,14,0)</f>
        <v>Environmental Assessment</v>
      </c>
      <c r="F188" s="16" t="str">
        <f>VLOOKUP($A188,'DB1'!$C:$Q,15,0)</f>
        <v>Climate Adaptation</v>
      </c>
      <c r="G188" s="17">
        <f>VLOOKUP($A188,'DB1'!$C:$Q,9,0)</f>
        <v>45658</v>
      </c>
      <c r="H188" s="17">
        <f>VLOOKUP($A188,'DB1'!$C:$Q,10,0)</f>
        <v>45961</v>
      </c>
    </row>
    <row r="189" spans="1:8" ht="33">
      <c r="A189" t="str">
        <f>'DB1'!$C186</f>
        <v>RE2025-04</v>
      </c>
      <c r="B189" s="16" t="str" cm="1">
        <f t="array" ref="B189">_xlfn.IFS(LEFT($A189,2)='DB2'!$G$43,'DB2'!$F$43,LEFT($A189,2)='DB2'!$G$44,'DB2'!$F$44,LEFT($A189,2)='DB2'!$H$44,'DB2'!$F$44,LEFT($A189,2)='DB2'!$I$44,'DB2'!$F$44,LEFT($A189,2)='DB2'!$J$44,'DB2'!$F$44,LEFT($A189,2)='DB2'!$G$45,'DB2'!$F$45,LEFT($A189,2)='DB2'!$G$46,'DB2'!$F$46,LEFT($A189,2)=LEFT('DB2'!$G$47,2),'DB2'!$F$47)</f>
        <v>Core Research</v>
      </c>
      <c r="C189" s="16" t="str">
        <f>VLOOKUP($A189,'DB1'!$C:$Q,12,0)</f>
        <v>Designation and Management of Climate Resilience Improvement Zones Based on Local Conditions</v>
      </c>
      <c r="D189" s="12" t="str">
        <f>VLOOKUP($A189,'DB1'!$C:$Q,13,0)</f>
        <v xml:space="preserve">Kim, Taehyun </v>
      </c>
      <c r="E189" s="16" t="str">
        <f>VLOOKUP($A189,'DB1'!$C:$Q,14,0)</f>
        <v>Climate Adaptation</v>
      </c>
      <c r="F189" s="16" t="str">
        <f>VLOOKUP($A189,'DB1'!$C:$Q,15,0)</f>
        <v>Land Management and Environment</v>
      </c>
      <c r="G189" s="17">
        <f>VLOOKUP($A189,'DB1'!$C:$Q,9,0)</f>
        <v>45658</v>
      </c>
      <c r="H189" s="17">
        <f>VLOOKUP($A189,'DB1'!$C:$Q,10,0)</f>
        <v>45961</v>
      </c>
    </row>
    <row r="190" spans="1:8" ht="33">
      <c r="A190" t="str">
        <f>'DB1'!$C187</f>
        <v>RE2025-05</v>
      </c>
      <c r="B190" s="16" t="str" cm="1">
        <f t="array" ref="B190">_xlfn.IFS(LEFT($A190,2)='DB2'!$G$43,'DB2'!$F$43,LEFT($A190,2)='DB2'!$G$44,'DB2'!$F$44,LEFT($A190,2)='DB2'!$H$44,'DB2'!$F$44,LEFT($A190,2)='DB2'!$I$44,'DB2'!$F$44,LEFT($A190,2)='DB2'!$J$44,'DB2'!$F$44,LEFT($A190,2)='DB2'!$G$45,'DB2'!$F$45,LEFT($A190,2)='DB2'!$G$46,'DB2'!$F$46,LEFT($A190,2)=LEFT('DB2'!$G$47,2),'DB2'!$F$47)</f>
        <v>Core Research</v>
      </c>
      <c r="C190" s="16" t="str">
        <f>VLOOKUP($A190,'DB1'!$C:$Q,12,0)</f>
        <v>Management Strategies for Urban Sewer Overflows and Stormwater Runoff at the Point Source Level to Improve Water Quality</v>
      </c>
      <c r="D190" s="12" t="str">
        <f>VLOOKUP($A190,'DB1'!$C:$Q,13,0)</f>
        <v>Kim, Hojeong</v>
      </c>
      <c r="E190" s="16" t="str">
        <f>VLOOKUP($A190,'DB1'!$C:$Q,14,0)</f>
        <v>Water Management</v>
      </c>
      <c r="F190" s="16" t="str">
        <f>VLOOKUP($A190,'DB1'!$C:$Q,15,0)</f>
        <v>Land Management and Environment</v>
      </c>
      <c r="G190" s="17">
        <f>VLOOKUP($A190,'DB1'!$C:$Q,9,0)</f>
        <v>45658</v>
      </c>
      <c r="H190" s="17">
        <f>VLOOKUP($A190,'DB1'!$C:$Q,10,0)</f>
        <v>45961</v>
      </c>
    </row>
    <row r="191" spans="1:8" ht="33">
      <c r="A191" t="str">
        <f>'DB1'!$C188</f>
        <v>RE2025-06</v>
      </c>
      <c r="B191" s="16" t="str" cm="1">
        <f t="array" ref="B191">_xlfn.IFS(LEFT($A191,2)='DB2'!$G$43,'DB2'!$F$43,LEFT($A191,2)='DB2'!$G$44,'DB2'!$F$44,LEFT($A191,2)='DB2'!$H$44,'DB2'!$F$44,LEFT($A191,2)='DB2'!$I$44,'DB2'!$F$44,LEFT($A191,2)='DB2'!$J$44,'DB2'!$F$44,LEFT($A191,2)='DB2'!$G$45,'DB2'!$F$45,LEFT($A191,2)='DB2'!$G$46,'DB2'!$F$46,LEFT($A191,2)=LEFT('DB2'!$G$47,2),'DB2'!$F$47)</f>
        <v>Core Research</v>
      </c>
      <c r="C191" s="16" t="str">
        <f>VLOOKUP($A191,'DB1'!$C:$Q,12,0)</f>
        <v>Financial Forecasting for Water Management in Response to the Climate Crisis</v>
      </c>
      <c r="D191" s="12" t="str">
        <f>VLOOKUP($A191,'DB1'!$C:$Q,13,0)</f>
        <v>Han, Haejin</v>
      </c>
      <c r="E191" s="16" t="str">
        <f>VLOOKUP($A191,'DB1'!$C:$Q,14,0)</f>
        <v>Water Management</v>
      </c>
      <c r="F191" s="16" t="str">
        <f>VLOOKUP($A191,'DB1'!$C:$Q,15,0)</f>
        <v>Environmental Economics</v>
      </c>
      <c r="G191" s="17">
        <f>VLOOKUP($A191,'DB1'!$C:$Q,9,0)</f>
        <v>45658</v>
      </c>
      <c r="H191" s="17">
        <f>VLOOKUP($A191,'DB1'!$C:$Q,10,0)</f>
        <v>46022</v>
      </c>
    </row>
    <row r="192" spans="1:8" ht="33">
      <c r="A192" t="str">
        <f>'DB1'!$C189</f>
        <v>RE2025-07</v>
      </c>
      <c r="B192" s="16" t="str" cm="1">
        <f t="array" ref="B192">_xlfn.IFS(LEFT($A192,2)='DB2'!$G$43,'DB2'!$F$43,LEFT($A192,2)='DB2'!$G$44,'DB2'!$F$44,LEFT($A192,2)='DB2'!$H$44,'DB2'!$F$44,LEFT($A192,2)='DB2'!$I$44,'DB2'!$F$44,LEFT($A192,2)='DB2'!$J$44,'DB2'!$F$44,LEFT($A192,2)='DB2'!$G$45,'DB2'!$F$45,LEFT($A192,2)='DB2'!$G$46,'DB2'!$F$46,LEFT($A192,2)=LEFT('DB2'!$G$47,2),'DB2'!$F$47)</f>
        <v>Core Research</v>
      </c>
      <c r="C192" s="16" t="str">
        <f>VLOOKUP($A192,'DB1'!$C:$Q,12,0)</f>
        <v xml:space="preserve">Improving Environmental Impact Assessment to Ensure Continuity Between Development Plans and Their Implementation </v>
      </c>
      <c r="D192" s="12" t="str">
        <f>VLOOKUP($A192,'DB1'!$C:$Q,13,0)</f>
        <v>Lee, Sangbum</v>
      </c>
      <c r="E192" s="16" t="str">
        <f>VLOOKUP($A192,'DB1'!$C:$Q,14,0)</f>
        <v>Environmental Assessment</v>
      </c>
      <c r="F192" s="16" t="str">
        <f>VLOOKUP($A192,'DB1'!$C:$Q,15,0)</f>
        <v>Land Management and Environment</v>
      </c>
      <c r="G192" s="17">
        <f>VLOOKUP($A192,'DB1'!$C:$Q,9,0)</f>
        <v>45658</v>
      </c>
      <c r="H192" s="17">
        <f>VLOOKUP($A192,'DB1'!$C:$Q,10,0)</f>
        <v>45961</v>
      </c>
    </row>
    <row r="193" spans="1:8" ht="33">
      <c r="A193" t="str">
        <f>'DB1'!$C190</f>
        <v>RE2025-08</v>
      </c>
      <c r="B193" s="16" t="str" cm="1">
        <f t="array" ref="B193">_xlfn.IFS(LEFT($A193,2)='DB2'!$G$43,'DB2'!$F$43,LEFT($A193,2)='DB2'!$G$44,'DB2'!$F$44,LEFT($A193,2)='DB2'!$H$44,'DB2'!$F$44,LEFT($A193,2)='DB2'!$I$44,'DB2'!$F$44,LEFT($A193,2)='DB2'!$J$44,'DB2'!$F$44,LEFT($A193,2)='DB2'!$G$45,'DB2'!$F$45,LEFT($A193,2)='DB2'!$G$46,'DB2'!$F$46,LEFT($A193,2)=LEFT('DB2'!$G$47,2),'DB2'!$F$47)</f>
        <v>Core Research</v>
      </c>
      <c r="C193" s="16" t="str">
        <f>VLOOKUP($A193,'DB1'!$C:$Q,12,0)</f>
        <v xml:space="preserve">National Climate Governance Models: With Case Studies of Selected Countries </v>
      </c>
      <c r="D193" s="12" t="str">
        <f>VLOOKUP($A193,'DB1'!$C:$Q,13,0)</f>
        <v>Chung, Woo Hyun</v>
      </c>
      <c r="E193" s="16" t="str">
        <f>VLOOKUP($A193,'DB1'!$C:$Q,14,0)</f>
        <v>Climate Environment (GHG Reduction)</v>
      </c>
      <c r="F193" s="16" t="str">
        <f>VLOOKUP($A193,'DB1'!$C:$Q,15,0)</f>
        <v>Socio-Environmental Interface</v>
      </c>
      <c r="G193" s="17">
        <f>VLOOKUP($A193,'DB1'!$C:$Q,9,0)</f>
        <v>45658</v>
      </c>
      <c r="H193" s="17">
        <f>VLOOKUP($A193,'DB1'!$C:$Q,10,0)</f>
        <v>46022</v>
      </c>
    </row>
    <row r="194" spans="1:8">
      <c r="A194" t="str">
        <f>'DB1'!$C191</f>
        <v>RE2025-09</v>
      </c>
      <c r="B194" s="16" t="str" cm="1">
        <f t="array" ref="B194">_xlfn.IFS(LEFT($A194,2)='DB2'!$G$43,'DB2'!$F$43,LEFT($A194,2)='DB2'!$G$44,'DB2'!$F$44,LEFT($A194,2)='DB2'!$H$44,'DB2'!$F$44,LEFT($A194,2)='DB2'!$I$44,'DB2'!$F$44,LEFT($A194,2)='DB2'!$J$44,'DB2'!$F$44,LEFT($A194,2)='DB2'!$G$45,'DB2'!$F$45,LEFT($A194,2)='DB2'!$G$46,'DB2'!$F$46,LEFT($A194,2)=LEFT('DB2'!$G$47,2),'DB2'!$F$47)</f>
        <v>Core Research</v>
      </c>
      <c r="C194" s="16" t="str">
        <f>VLOOKUP($A194,'DB1'!$C:$Q,12,0)</f>
        <v>Establishing Human Health and Environmental Standards for Persistent Organic Pollutants (POPs)</v>
      </c>
      <c r="D194" s="12" t="str">
        <f>VLOOKUP($A194,'DB1'!$C:$Q,13,0)</f>
        <v>공동과책 확인</v>
      </c>
      <c r="E194" s="16" t="str">
        <f>VLOOKUP($A194,'DB1'!$C:$Q,14,0)</f>
        <v>Environmental Health</v>
      </c>
      <c r="F194" s="16">
        <f>VLOOKUP($A194,'DB1'!$C:$Q,15,0)</f>
        <v>0</v>
      </c>
      <c r="G194" s="17">
        <f>VLOOKUP($A194,'DB1'!$C:$Q,9,0)</f>
        <v>45658</v>
      </c>
      <c r="H194" s="17">
        <f>VLOOKUP($A194,'DB1'!$C:$Q,10,0)</f>
        <v>45961</v>
      </c>
    </row>
    <row r="195" spans="1:8" ht="33">
      <c r="A195" t="str">
        <f>'DB1'!$C192</f>
        <v>RE2025-10</v>
      </c>
      <c r="B195" s="16" t="str" cm="1">
        <f t="array" ref="B195">_xlfn.IFS(LEFT($A195,2)='DB2'!$G$43,'DB2'!$F$43,LEFT($A195,2)='DB2'!$G$44,'DB2'!$F$44,LEFT($A195,2)='DB2'!$H$44,'DB2'!$F$44,LEFT($A195,2)='DB2'!$I$44,'DB2'!$F$44,LEFT($A195,2)='DB2'!$J$44,'DB2'!$F$44,LEFT($A195,2)='DB2'!$G$45,'DB2'!$F$45,LEFT($A195,2)='DB2'!$G$46,'DB2'!$F$46,LEFT($A195,2)=LEFT('DB2'!$G$47,2),'DB2'!$F$47)</f>
        <v>Core Research</v>
      </c>
      <c r="C195" s="16" t="str">
        <f>VLOOKUP($A195,'DB1'!$C:$Q,12,0)</f>
        <v>Integrated Improvement Strategies for Air Pollution Control and Carbon Neutrality in the Cement Industry</v>
      </c>
      <c r="D195" s="12" t="str">
        <f>VLOOKUP($A195,'DB1'!$C:$Q,13,0)</f>
        <v>Lee, Seungmin</v>
      </c>
      <c r="E195" s="16" t="str">
        <f>VLOOKUP($A195,'DB1'!$C:$Q,14,0)</f>
        <v>Atmospheric Environment</v>
      </c>
      <c r="F195" s="16" t="str">
        <f>VLOOKUP($A195,'DB1'!$C:$Q,15,0)</f>
        <v>Climate Environment (GHG Reduction)</v>
      </c>
      <c r="G195" s="17">
        <f>VLOOKUP($A195,'DB1'!$C:$Q,9,0)</f>
        <v>45658</v>
      </c>
      <c r="H195" s="17">
        <f>VLOOKUP($A195,'DB1'!$C:$Q,10,0)</f>
        <v>45961</v>
      </c>
    </row>
    <row r="196" spans="1:8">
      <c r="A196" t="str">
        <f>'DB1'!$C193</f>
        <v>RE2025-11</v>
      </c>
      <c r="B196" s="16" t="str" cm="1">
        <f t="array" ref="B196">_xlfn.IFS(LEFT($A196,2)='DB2'!$G$43,'DB2'!$F$43,LEFT($A196,2)='DB2'!$G$44,'DB2'!$F$44,LEFT($A196,2)='DB2'!$H$44,'DB2'!$F$44,LEFT($A196,2)='DB2'!$I$44,'DB2'!$F$44,LEFT($A196,2)='DB2'!$J$44,'DB2'!$F$44,LEFT($A196,2)='DB2'!$G$45,'DB2'!$F$45,LEFT($A196,2)='DB2'!$G$46,'DB2'!$F$46,LEFT($A196,2)=LEFT('DB2'!$G$47,2),'DB2'!$F$47)</f>
        <v>Core Research</v>
      </c>
      <c r="C196" s="16" t="str">
        <f>VLOOKUP($A196,'DB1'!$C:$Q,12,0)</f>
        <v>Riparian Zone Management System for Watershed Improvement (I)</v>
      </c>
      <c r="D196" s="12" t="str">
        <f>VLOOKUP($A196,'DB1'!$C:$Q,13,0)</f>
        <v>Kim, Ikjae</v>
      </c>
      <c r="E196" s="16" t="str">
        <f>VLOOKUP($A196,'DB1'!$C:$Q,14,0)</f>
        <v>Water Management</v>
      </c>
      <c r="F196" s="16" t="str">
        <f>VLOOKUP($A196,'DB1'!$C:$Q,15,0)</f>
        <v>Ecology</v>
      </c>
      <c r="G196" s="17">
        <f>VLOOKUP($A196,'DB1'!$C:$Q,9,0)</f>
        <v>45658</v>
      </c>
      <c r="H196" s="17">
        <f>VLOOKUP($A196,'DB1'!$C:$Q,10,0)</f>
        <v>46022</v>
      </c>
    </row>
    <row r="197" spans="1:8" ht="33">
      <c r="A197" t="str">
        <f>'DB1'!$C194</f>
        <v>RE2025-12</v>
      </c>
      <c r="B197" s="16" t="str" cm="1">
        <f t="array" ref="B197">_xlfn.IFS(LEFT($A197,2)='DB2'!$G$43,'DB2'!$F$43,LEFT($A197,2)='DB2'!$G$44,'DB2'!$F$44,LEFT($A197,2)='DB2'!$H$44,'DB2'!$F$44,LEFT($A197,2)='DB2'!$I$44,'DB2'!$F$44,LEFT($A197,2)='DB2'!$J$44,'DB2'!$F$44,LEFT($A197,2)='DB2'!$G$45,'DB2'!$F$45,LEFT($A197,2)='DB2'!$G$46,'DB2'!$F$46,LEFT($A197,2)=LEFT('DB2'!$G$47,2),'DB2'!$F$47)</f>
        <v>Core Research</v>
      </c>
      <c r="C197" s="16" t="str">
        <f>VLOOKUP($A197,'DB1'!$C:$Q,12,0)</f>
        <v>Improving Waste and Resource Circulation Statistics in Response to the Implementation of the Circular Economy and Society Promotion Act in Korea</v>
      </c>
      <c r="D197" s="12" t="str">
        <f>VLOOKUP($A197,'DB1'!$C:$Q,13,0)</f>
        <v xml:space="preserve">Yi, Sora </v>
      </c>
      <c r="E197" s="16" t="str">
        <f>VLOOKUP($A197,'DB1'!$C:$Q,14,0)</f>
        <v>Circular Economy</v>
      </c>
      <c r="F197" s="16" t="str">
        <f>VLOOKUP($A197,'DB1'!$C:$Q,15,0)</f>
        <v>Environmental Economics</v>
      </c>
      <c r="G197" s="17">
        <f>VLOOKUP($A197,'DB1'!$C:$Q,9,0)</f>
        <v>45658</v>
      </c>
      <c r="H197" s="17">
        <f>VLOOKUP($A197,'DB1'!$C:$Q,10,0)</f>
        <v>45961</v>
      </c>
    </row>
    <row r="198" spans="1:8" ht="33">
      <c r="A198" t="str">
        <f>'DB1'!$C195</f>
        <v>RE2025-13</v>
      </c>
      <c r="B198" s="16" t="str" cm="1">
        <f t="array" ref="B198">_xlfn.IFS(LEFT($A198,2)='DB2'!$G$43,'DB2'!$F$43,LEFT($A198,2)='DB2'!$G$44,'DB2'!$F$44,LEFT($A198,2)='DB2'!$H$44,'DB2'!$F$44,LEFT($A198,2)='DB2'!$I$44,'DB2'!$F$44,LEFT($A198,2)='DB2'!$J$44,'DB2'!$F$44,LEFT($A198,2)='DB2'!$G$45,'DB2'!$F$45,LEFT($A198,2)='DB2'!$G$46,'DB2'!$F$46,LEFT($A198,2)=LEFT('DB2'!$G$47,2),'DB2'!$F$47)</f>
        <v>Core Research</v>
      </c>
      <c r="C198" s="16" t="str">
        <f>VLOOKUP($A198,'DB1'!$C:$Q,12,0)</f>
        <v>Evaluation and Improvement of Policies on Air Pollution Control Facility Installation and IoT-Based Management for Small-Scale Businesses</v>
      </c>
      <c r="D198" s="12" t="str">
        <f>VLOOKUP($A198,'DB1'!$C:$Q,13,0)</f>
        <v xml:space="preserve">Han, Jihyun </v>
      </c>
      <c r="E198" s="16" t="str">
        <f>VLOOKUP($A198,'DB1'!$C:$Q,14,0)</f>
        <v>Atmospheric Environment</v>
      </c>
      <c r="F198" s="16" t="str">
        <f>VLOOKUP($A198,'DB1'!$C:$Q,15,0)</f>
        <v>Environmental Informatics</v>
      </c>
      <c r="G198" s="17">
        <f>VLOOKUP($A198,'DB1'!$C:$Q,9,0)</f>
        <v>45658</v>
      </c>
      <c r="H198" s="17">
        <f>VLOOKUP($A198,'DB1'!$C:$Q,10,0)</f>
        <v>46022</v>
      </c>
    </row>
    <row r="199" spans="1:8">
      <c r="A199" t="str">
        <f>'DB1'!$C196</f>
        <v>RE2025-14</v>
      </c>
      <c r="B199" s="16" t="str" cm="1">
        <f t="array" ref="B199">_xlfn.IFS(LEFT($A199,2)='DB2'!$G$43,'DB2'!$F$43,LEFT($A199,2)='DB2'!$G$44,'DB2'!$F$44,LEFT($A199,2)='DB2'!$H$44,'DB2'!$F$44,LEFT($A199,2)='DB2'!$I$44,'DB2'!$F$44,LEFT($A199,2)='DB2'!$J$44,'DB2'!$F$44,LEFT($A199,2)='DB2'!$G$45,'DB2'!$F$45,LEFT($A199,2)='DB2'!$G$46,'DB2'!$F$46,LEFT($A199,2)=LEFT('DB2'!$G$47,2),'DB2'!$F$47)</f>
        <v>Core Research</v>
      </c>
      <c r="C199" s="16" t="str">
        <f>VLOOKUP($A199,'DB1'!$C:$Q,12,0)</f>
        <v>Climate Change Adaptation Strategies Based on Social Vulnerability and Health Risks</v>
      </c>
      <c r="D199" s="12" t="str">
        <f>VLOOKUP($A199,'DB1'!$C:$Q,13,0)</f>
        <v>공동과책 확인</v>
      </c>
      <c r="E199" s="16" t="str">
        <f>VLOOKUP($A199,'DB1'!$C:$Q,14,0)</f>
        <v>Environmental Health</v>
      </c>
      <c r="F199" s="16" t="str">
        <f>VLOOKUP($A199,'DB1'!$C:$Q,15,0)</f>
        <v>Climate Adaptation</v>
      </c>
      <c r="G199" s="17">
        <f>VLOOKUP($A199,'DB1'!$C:$Q,9,0)</f>
        <v>45658</v>
      </c>
      <c r="H199" s="17">
        <f>VLOOKUP($A199,'DB1'!$C:$Q,10,0)</f>
        <v>45961</v>
      </c>
    </row>
    <row r="200" spans="1:8" ht="33">
      <c r="A200" t="str">
        <f>'DB1'!$C197</f>
        <v>RE2025-15</v>
      </c>
      <c r="B200" s="16" t="str" cm="1">
        <f t="array" ref="B200">_xlfn.IFS(LEFT($A200,2)='DB2'!$G$43,'DB2'!$F$43,LEFT($A200,2)='DB2'!$G$44,'DB2'!$F$44,LEFT($A200,2)='DB2'!$H$44,'DB2'!$F$44,LEFT($A200,2)='DB2'!$I$44,'DB2'!$F$44,LEFT($A200,2)='DB2'!$J$44,'DB2'!$F$44,LEFT($A200,2)='DB2'!$G$45,'DB2'!$F$45,LEFT($A200,2)='DB2'!$G$46,'DB2'!$F$46,LEFT($A200,2)=LEFT('DB2'!$G$47,2),'DB2'!$F$47)</f>
        <v>Core Research</v>
      </c>
      <c r="C200" s="16" t="str">
        <f>VLOOKUP($A200,'DB1'!$C:$Q,12,0)</f>
        <v>Environmental Impact Assessment Review</v>
      </c>
      <c r="D200" s="12" t="str">
        <f>VLOOKUP($A200,'DB1'!$C:$Q,13,0)</f>
        <v>Lee, Sangbum</v>
      </c>
      <c r="E200" s="16" t="str">
        <f>VLOOKUP($A200,'DB1'!$C:$Q,14,0)</f>
        <v>Environmental Assessment</v>
      </c>
      <c r="F200" s="16" t="str">
        <f>VLOOKUP($A200,'DB1'!$C:$Q,15,0)</f>
        <v>Land Management and Environment</v>
      </c>
      <c r="G200" s="17">
        <f>VLOOKUP($A200,'DB1'!$C:$Q,9,0)</f>
        <v>45658</v>
      </c>
      <c r="H200" s="17">
        <f>VLOOKUP($A200,'DB1'!$C:$Q,10,0)</f>
        <v>46022</v>
      </c>
    </row>
    <row r="201" spans="1:8" ht="33">
      <c r="A201" t="str">
        <f>'DB1'!$C198</f>
        <v>RE2025-16</v>
      </c>
      <c r="B201" s="16" t="str" cm="1">
        <f t="array" ref="B201">_xlfn.IFS(LEFT($A201,2)='DB2'!$G$43,'DB2'!$F$43,LEFT($A201,2)='DB2'!$G$44,'DB2'!$F$44,LEFT($A201,2)='DB2'!$H$44,'DB2'!$F$44,LEFT($A201,2)='DB2'!$I$44,'DB2'!$F$44,LEFT($A201,2)='DB2'!$J$44,'DB2'!$F$44,LEFT($A201,2)='DB2'!$G$45,'DB2'!$F$45,LEFT($A201,2)='DB2'!$G$46,'DB2'!$F$46,LEFT($A201,2)=LEFT('DB2'!$G$47,2),'DB2'!$F$47)</f>
        <v>Core Research</v>
      </c>
      <c r="C201" s="16" t="str">
        <f>VLOOKUP($A201,'DB1'!$C:$Q,12,0)</f>
        <v>Strategic Environmental Assessment Review</v>
      </c>
      <c r="D201" s="12" t="str">
        <f>VLOOKUP($A201,'DB1'!$C:$Q,13,0)</f>
        <v>Lee, Sangbum</v>
      </c>
      <c r="E201" s="16" t="str">
        <f>VLOOKUP($A201,'DB1'!$C:$Q,14,0)</f>
        <v>Environmental Assessment</v>
      </c>
      <c r="F201" s="16" t="str">
        <f>VLOOKUP($A201,'DB1'!$C:$Q,15,0)</f>
        <v>Land Management and Environment</v>
      </c>
      <c r="G201" s="17">
        <f>VLOOKUP($A201,'DB1'!$C:$Q,9,0)</f>
        <v>45658</v>
      </c>
      <c r="H201" s="17">
        <f>VLOOKUP($A201,'DB1'!$C:$Q,10,0)</f>
        <v>46022</v>
      </c>
    </row>
    <row r="202" spans="1:8" ht="33">
      <c r="A202" t="str">
        <f>'DB1'!$C199</f>
        <v>RE2025-17</v>
      </c>
      <c r="B202" s="16" t="str" cm="1">
        <f t="array" ref="B202">_xlfn.IFS(LEFT($A202,2)='DB2'!$G$43,'DB2'!$F$43,LEFT($A202,2)='DB2'!$G$44,'DB2'!$F$44,LEFT($A202,2)='DB2'!$H$44,'DB2'!$F$44,LEFT($A202,2)='DB2'!$I$44,'DB2'!$F$44,LEFT($A202,2)='DB2'!$J$44,'DB2'!$F$44,LEFT($A202,2)='DB2'!$G$45,'DB2'!$F$45,LEFT($A202,2)='DB2'!$G$46,'DB2'!$F$46,LEFT($A202,2)=LEFT('DB2'!$G$47,2),'DB2'!$F$47)</f>
        <v>Core Research</v>
      </c>
      <c r="C202" s="16" t="str">
        <f>VLOOKUP($A202,'DB1'!$C:$Q,12,0)</f>
        <v>Development of an Integrated Modeling Framework for Assessing Climate and Air Quality (III)</v>
      </c>
      <c r="D202" s="12" t="str">
        <f>VLOOKUP($A202,'DB1'!$C:$Q,13,0)</f>
        <v>Kim, Sungjin</v>
      </c>
      <c r="E202" s="16" t="str">
        <f>VLOOKUP($A202,'DB1'!$C:$Q,14,0)</f>
        <v>Climate Environment (GHG Reduction)</v>
      </c>
      <c r="F202" s="16" t="str">
        <f>VLOOKUP($A202,'DB1'!$C:$Q,15,0)</f>
        <v>Atmospheric Environment</v>
      </c>
      <c r="G202" s="17">
        <f>VLOOKUP($A202,'DB1'!$C:$Q,9,0)</f>
        <v>45658</v>
      </c>
      <c r="H202" s="17">
        <f>VLOOKUP($A202,'DB1'!$C:$Q,10,0)</f>
        <v>46022</v>
      </c>
    </row>
    <row r="203" spans="1:8" ht="33">
      <c r="A203" t="str">
        <f>'DB1'!$C200</f>
        <v>RI2025-01</v>
      </c>
      <c r="B203" s="16" t="str" cm="1">
        <f t="array" ref="B203">_xlfn.IFS(LEFT($A203,2)='DB2'!$G$43,'DB2'!$F$43,LEFT($A203,2)='DB2'!$G$44,'DB2'!$F$44,LEFT($A203,2)='DB2'!$H$44,'DB2'!$F$44,LEFT($A203,2)='DB2'!$I$44,'DB2'!$F$44,LEFT($A203,2)='DB2'!$J$44,'DB2'!$F$44,LEFT($A203,2)='DB2'!$G$45,'DB2'!$F$45,LEFT($A203,2)='DB2'!$G$46,'DB2'!$F$46,LEFT($A203,2)=LEFT('DB2'!$G$47,2),'DB2'!$F$47)</f>
        <v>General Project</v>
      </c>
      <c r="C203" s="16" t="str">
        <f>VLOOKUP($A203,'DB1'!$C:$Q,12,0)</f>
        <v>Developing an AI-Enhanced Environmental Policy Data Hub</v>
      </c>
      <c r="D203" s="12" t="str">
        <f>VLOOKUP($A203,'DB1'!$C:$Q,13,0)</f>
        <v>Choi, Kwanghun</v>
      </c>
      <c r="E203" s="16" t="str">
        <f>VLOOKUP($A203,'DB1'!$C:$Q,14,0)</f>
        <v>Environmental Informatics</v>
      </c>
      <c r="F203" s="16">
        <f>VLOOKUP($A203,'DB1'!$C:$Q,15,0)</f>
        <v>0</v>
      </c>
      <c r="G203" s="17">
        <f>VLOOKUP($A203,'DB1'!$C:$Q,9,0)</f>
        <v>45778</v>
      </c>
      <c r="H203" s="17">
        <f>VLOOKUP($A203,'DB1'!$C:$Q,10,0)</f>
        <v>46142</v>
      </c>
    </row>
    <row r="204" spans="1:8" ht="49.5">
      <c r="A204" t="str">
        <f>'DB1'!$C201</f>
        <v>RI2025-02</v>
      </c>
      <c r="B204" s="16" t="str" cm="1">
        <f t="array" ref="B204">_xlfn.IFS(LEFT($A204,2)='DB2'!$G$43,'DB2'!$F$43,LEFT($A204,2)='DB2'!$G$44,'DB2'!$F$44,LEFT($A204,2)='DB2'!$H$44,'DB2'!$F$44,LEFT($A204,2)='DB2'!$I$44,'DB2'!$F$44,LEFT($A204,2)='DB2'!$J$44,'DB2'!$F$44,LEFT($A204,2)='DB2'!$G$45,'DB2'!$F$45,LEFT($A204,2)='DB2'!$G$46,'DB2'!$F$46,LEFT($A204,2)=LEFT('DB2'!$G$47,2),'DB2'!$F$47)</f>
        <v>General Project</v>
      </c>
      <c r="C204" s="16" t="str">
        <f>VLOOKUP($A204,'DB1'!$C:$Q,12,0)</f>
        <v>KEI Global Cooperation Enhancement and Forum Operations</v>
      </c>
      <c r="D204" s="12" t="str">
        <f>VLOOKUP($A204,'DB1'!$C:$Q,13,0)</f>
        <v>Park, Jun Hyun</v>
      </c>
      <c r="E204" s="16" t="str">
        <f>VLOOKUP($A204,'DB1'!$C:$Q,14,0)</f>
        <v>International &amp; Regional Collaboration</v>
      </c>
      <c r="F204" s="16">
        <f>VLOOKUP($A204,'DB1'!$C:$Q,15,0)</f>
        <v>0</v>
      </c>
      <c r="G204" s="17">
        <f>VLOOKUP($A204,'DB1'!$C:$Q,9,0)</f>
        <v>45778</v>
      </c>
      <c r="H204" s="17">
        <f>VLOOKUP($A204,'DB1'!$C:$Q,10,0)</f>
        <v>46142</v>
      </c>
    </row>
    <row r="205" spans="1:8" ht="33">
      <c r="A205" t="str">
        <f>'DB1'!$C202</f>
        <v>RR2024-01</v>
      </c>
      <c r="B205" s="16" t="str" cm="1">
        <f t="array" ref="B205">_xlfn.IFS(LEFT($A205,2)='DB2'!$G$43,'DB2'!$F$43,LEFT($A205,2)='DB2'!$G$44,'DB2'!$F$44,LEFT($A205,2)='DB2'!$H$44,'DB2'!$F$44,LEFT($A205,2)='DB2'!$I$44,'DB2'!$F$44,LEFT($A205,2)='DB2'!$J$44,'DB2'!$F$44,LEFT($A205,2)='DB2'!$G$45,'DB2'!$F$45,LEFT($A205,2)='DB2'!$G$46,'DB2'!$F$46,LEFT($A205,2)=LEFT('DB2'!$G$47,2),'DB2'!$F$47)</f>
        <v>General Project</v>
      </c>
      <c r="C205" s="16" t="str">
        <f>VLOOKUP($A205,'DB1'!$C:$Q,12,0)</f>
        <v>Establishment of an Estuary and Coastal Integrated Environmental Information System to Respond to the Climate Crisis (II)</v>
      </c>
      <c r="D205" s="12" t="str">
        <f>VLOOKUP($A205,'DB1'!$C:$Q,13,0)</f>
        <v>Park, Chang Sug</v>
      </c>
      <c r="E205" s="16" t="str">
        <f>VLOOKUP($A205,'DB1'!$C:$Q,14,0)</f>
        <v>Environmental Informatics</v>
      </c>
      <c r="F205" s="16" t="str">
        <f>VLOOKUP($A205,'DB1'!$C:$Q,15,0)</f>
        <v>Marine Environment</v>
      </c>
      <c r="G205" s="17">
        <f>VLOOKUP($A205,'DB1'!$C:$Q,9,0)</f>
        <v>45413</v>
      </c>
      <c r="H205" s="17">
        <f>VLOOKUP($A205,'DB1'!$C:$Q,10,0)</f>
        <v>45777</v>
      </c>
    </row>
    <row r="206" spans="1:8" ht="33">
      <c r="A206" t="str">
        <f>'DB1'!$C203</f>
        <v>RR2024-02</v>
      </c>
      <c r="B206" s="16" t="str" cm="1">
        <f t="array" ref="B206">_xlfn.IFS(LEFT($A206,2)='DB2'!$G$43,'DB2'!$F$43,LEFT($A206,2)='DB2'!$G$44,'DB2'!$F$44,LEFT($A206,2)='DB2'!$H$44,'DB2'!$F$44,LEFT($A206,2)='DB2'!$I$44,'DB2'!$F$44,LEFT($A206,2)='DB2'!$J$44,'DB2'!$F$44,LEFT($A206,2)='DB2'!$G$45,'DB2'!$F$45,LEFT($A206,2)='DB2'!$G$46,'DB2'!$F$46,LEFT($A206,2)=LEFT('DB2'!$G$47,2),'DB2'!$F$47)</f>
        <v>General Project</v>
      </c>
      <c r="C206" s="16" t="str">
        <f>VLOOKUP($A206,'DB1'!$C:$Q,12,0)</f>
        <v>Thematic Collaborative Research on Addressing Global Climate Policies</v>
      </c>
      <c r="D206" s="12" t="str">
        <f>VLOOKUP($A206,'DB1'!$C:$Q,13,0)</f>
        <v>Chang, Hoon</v>
      </c>
      <c r="E206" s="16" t="str">
        <f>VLOOKUP($A206,'DB1'!$C:$Q,14,0)</f>
        <v>Climate Adaptation</v>
      </c>
      <c r="F206" s="16" t="str">
        <f>VLOOKUP($A206,'DB1'!$C:$Q,15,0)</f>
        <v>Climate Environment (GHG Reduction)</v>
      </c>
      <c r="G206" s="17">
        <f>VLOOKUP($A206,'DB1'!$C:$Q,9,0)</f>
        <v>45383</v>
      </c>
      <c r="H206" s="17">
        <f>VLOOKUP($A206,'DB1'!$C:$Q,10,0)</f>
        <v>45808</v>
      </c>
    </row>
    <row r="207" spans="1:8" ht="33">
      <c r="A207" t="str">
        <f>'DB1'!$C204</f>
        <v>RR2024-03</v>
      </c>
      <c r="B207" s="16" t="str" cm="1">
        <f t="array" ref="B207">_xlfn.IFS(LEFT($A207,2)='DB2'!$G$43,'DB2'!$F$43,LEFT($A207,2)='DB2'!$G$44,'DB2'!$F$44,LEFT($A207,2)='DB2'!$H$44,'DB2'!$F$44,LEFT($A207,2)='DB2'!$I$44,'DB2'!$F$44,LEFT($A207,2)='DB2'!$J$44,'DB2'!$F$44,LEFT($A207,2)='DB2'!$G$45,'DB2'!$F$45,LEFT($A207,2)='DB2'!$G$46,'DB2'!$F$46,LEFT($A207,2)=LEFT('DB2'!$G$47,2),'DB2'!$F$47)</f>
        <v>General Project</v>
      </c>
      <c r="C207" s="16" t="str">
        <f>VLOOKUP($A207,'DB1'!$C:$Q,12,0)</f>
        <v>Strategic Development and Functional Improvement of Digital Environmental Assessment Support Tools</v>
      </c>
      <c r="D207" s="12" t="str">
        <f>VLOOKUP($A207,'DB1'!$C:$Q,13,0)</f>
        <v>Kim, Yumi</v>
      </c>
      <c r="E207" s="16" t="str">
        <f>VLOOKUP($A207,'DB1'!$C:$Q,14,0)</f>
        <v>Environmental Informatics</v>
      </c>
      <c r="F207" s="16" t="str">
        <f>VLOOKUP($A207,'DB1'!$C:$Q,15,0)</f>
        <v>Environmental Assessment</v>
      </c>
      <c r="G207" s="17">
        <f>VLOOKUP($A207,'DB1'!$C:$Q,9,0)</f>
        <v>45383</v>
      </c>
      <c r="H207" s="17">
        <f>VLOOKUP($A207,'DB1'!$C:$Q,10,0)</f>
        <v>45747</v>
      </c>
    </row>
    <row r="208" spans="1:8" ht="33">
      <c r="A208" t="str">
        <f>'DB1'!$C205</f>
        <v>RR2024-04</v>
      </c>
      <c r="B208" s="16" t="str" cm="1">
        <f t="array" ref="B208">_xlfn.IFS(LEFT($A208,2)='DB2'!$G$43,'DB2'!$F$43,LEFT($A208,2)='DB2'!$G$44,'DB2'!$F$44,LEFT($A208,2)='DB2'!$H$44,'DB2'!$F$44,LEFT($A208,2)='DB2'!$I$44,'DB2'!$F$44,LEFT($A208,2)='DB2'!$J$44,'DB2'!$F$44,LEFT($A208,2)='DB2'!$G$45,'DB2'!$F$45,LEFT($A208,2)='DB2'!$G$46,'DB2'!$F$46,LEFT($A208,2)=LEFT('DB2'!$G$47,2),'DB2'!$F$47)</f>
        <v>General Project</v>
      </c>
      <c r="C208" s="16" t="str">
        <f>VLOOKUP($A208,'DB1'!$C:$Q,12,0)</f>
        <v>Study on the Designation and Institutional Development for K-Carbon Neutral Cities</v>
      </c>
      <c r="D208" s="12" t="str">
        <f>VLOOKUP($A208,'DB1'!$C:$Q,13,0)</f>
        <v>Park, Chang Sug</v>
      </c>
      <c r="E208" s="16" t="str">
        <f>VLOOKUP($A208,'DB1'!$C:$Q,14,0)</f>
        <v>Climate Environment (GHG Reduction)</v>
      </c>
      <c r="F208" s="16" t="str">
        <f>VLOOKUP($A208,'DB1'!$C:$Q,15,0)</f>
        <v>Land Management and Environment</v>
      </c>
      <c r="G208" s="17">
        <f>VLOOKUP($A208,'DB1'!$C:$Q,9,0)</f>
        <v>45383</v>
      </c>
      <c r="H208" s="17">
        <f>VLOOKUP($A208,'DB1'!$C:$Q,10,0)</f>
        <v>45747</v>
      </c>
    </row>
    <row r="209" spans="1:8" ht="49.5">
      <c r="A209" t="str">
        <f>'DB1'!$C206</f>
        <v>RR2024-07</v>
      </c>
      <c r="B209" s="16" t="str" cm="1">
        <f t="array" ref="B209">_xlfn.IFS(LEFT($A209,2)='DB2'!$G$43,'DB2'!$F$43,LEFT($A209,2)='DB2'!$G$44,'DB2'!$F$44,LEFT($A209,2)='DB2'!$H$44,'DB2'!$F$44,LEFT($A209,2)='DB2'!$I$44,'DB2'!$F$44,LEFT($A209,2)='DB2'!$J$44,'DB2'!$F$44,LEFT($A209,2)='DB2'!$G$45,'DB2'!$F$45,LEFT($A209,2)='DB2'!$G$46,'DB2'!$F$46,LEFT($A209,2)=LEFT('DB2'!$G$47,2),'DB2'!$F$47)</f>
        <v>General Project</v>
      </c>
      <c r="C209" s="16" t="str">
        <f>VLOOKUP($A209,'DB1'!$C:$Q,12,0)</f>
        <v>A Study of Renewable Energy in South Korea, Japan, and China</v>
      </c>
      <c r="D209" s="12" t="str">
        <f>VLOOKUP($A209,'DB1'!$C:$Q,13,0)</f>
        <v>Suh, Yang-won</v>
      </c>
      <c r="E209" s="16" t="str">
        <f>VLOOKUP($A209,'DB1'!$C:$Q,14,0)</f>
        <v>Climate Environment (GHG Reduction)</v>
      </c>
      <c r="F209" s="16" t="str">
        <f>VLOOKUP($A209,'DB1'!$C:$Q,15,0)</f>
        <v>International &amp; Regional Collaboration</v>
      </c>
      <c r="G209" s="17">
        <f>VLOOKUP($A209,'DB1'!$C:$Q,9,0)</f>
        <v>45413</v>
      </c>
      <c r="H209" s="17">
        <f>VLOOKUP($A209,'DB1'!$C:$Q,10,0)</f>
        <v>45777</v>
      </c>
    </row>
    <row r="210" spans="1:8">
      <c r="A210" t="str">
        <f>'DB1'!$C207</f>
        <v>RR2024-08</v>
      </c>
      <c r="B210" s="16" t="str" cm="1">
        <f t="array" ref="B210">_xlfn.IFS(LEFT($A210,2)='DB2'!$G$43,'DB2'!$F$43,LEFT($A210,2)='DB2'!$G$44,'DB2'!$F$44,LEFT($A210,2)='DB2'!$H$44,'DB2'!$F$44,LEFT($A210,2)='DB2'!$I$44,'DB2'!$F$44,LEFT($A210,2)='DB2'!$J$44,'DB2'!$F$44,LEFT($A210,2)='DB2'!$G$45,'DB2'!$F$45,LEFT($A210,2)='DB2'!$G$46,'DB2'!$F$46,LEFT($A210,2)=LEFT('DB2'!$G$47,2),'DB2'!$F$47)</f>
        <v>General Project</v>
      </c>
      <c r="C210" s="16" t="str">
        <f>VLOOKUP($A210,'DB1'!$C:$Q,12,0)</f>
        <v>Strategic Responses to Water Risks from Extreme Floods and Droughts: Focusing on the Han River Basin</v>
      </c>
      <c r="D210" s="12" t="str">
        <f>VLOOKUP($A210,'DB1'!$C:$Q,13,0)</f>
        <v>Kang, Hyeongsik</v>
      </c>
      <c r="E210" s="16" t="str">
        <f>VLOOKUP($A210,'DB1'!$C:$Q,14,0)</f>
        <v>Water Management</v>
      </c>
      <c r="F210" s="16" t="str">
        <f>VLOOKUP($A210,'DB1'!$C:$Q,15,0)</f>
        <v>Climate Adaptation</v>
      </c>
      <c r="G210" s="17">
        <f>VLOOKUP($A210,'DB1'!$C:$Q,9,0)</f>
        <v>45413</v>
      </c>
      <c r="H210" s="17">
        <f>VLOOKUP($A210,'DB1'!$C:$Q,10,0)</f>
        <v>45777</v>
      </c>
    </row>
    <row r="211" spans="1:8" ht="33">
      <c r="A211" t="str">
        <f>'DB1'!$C208</f>
        <v>RR2024-09</v>
      </c>
      <c r="B211" s="16" t="str" cm="1">
        <f t="array" ref="B211">_xlfn.IFS(LEFT($A211,2)='DB2'!$G$43,'DB2'!$F$43,LEFT($A211,2)='DB2'!$G$44,'DB2'!$F$44,LEFT($A211,2)='DB2'!$H$44,'DB2'!$F$44,LEFT($A211,2)='DB2'!$I$44,'DB2'!$F$44,LEFT($A211,2)='DB2'!$J$44,'DB2'!$F$44,LEFT($A211,2)='DB2'!$G$45,'DB2'!$F$45,LEFT($A211,2)='DB2'!$G$46,'DB2'!$F$46,LEFT($A211,2)=LEFT('DB2'!$G$47,2),'DB2'!$F$47)</f>
        <v>General Project</v>
      </c>
      <c r="C211" s="16" t="str">
        <f>VLOOKUP($A211,'DB1'!$C:$Q,12,0)</f>
        <v>Study on Improving the Eco-Labeling System through Willingness-to-Pay Analysis</v>
      </c>
      <c r="D211" s="12" t="str">
        <f>VLOOKUP($A211,'DB1'!$C:$Q,13,0)</f>
        <v xml:space="preserve">Park, Juyoung </v>
      </c>
      <c r="E211" s="16" t="str">
        <f>VLOOKUP($A211,'DB1'!$C:$Q,14,0)</f>
        <v>Environmental Economics</v>
      </c>
      <c r="F211" s="16" t="str">
        <f>VLOOKUP($A211,'DB1'!$C:$Q,15,0)</f>
        <v>Socio-Environmental Interface</v>
      </c>
      <c r="G211" s="17">
        <f>VLOOKUP($A211,'DB1'!$C:$Q,9,0)</f>
        <v>45413</v>
      </c>
      <c r="H211" s="17">
        <f>VLOOKUP($A211,'DB1'!$C:$Q,10,0)</f>
        <v>45777</v>
      </c>
    </row>
    <row r="212" spans="1:8" ht="33">
      <c r="A212" t="str">
        <f>'DB1'!$C209</f>
        <v>RR2024-10</v>
      </c>
      <c r="B212" s="16" t="str" cm="1">
        <f t="array" ref="B212">_xlfn.IFS(LEFT($A212,2)='DB2'!$G$43,'DB2'!$F$43,LEFT($A212,2)='DB2'!$G$44,'DB2'!$F$44,LEFT($A212,2)='DB2'!$H$44,'DB2'!$F$44,LEFT($A212,2)='DB2'!$I$44,'DB2'!$F$44,LEFT($A212,2)='DB2'!$J$44,'DB2'!$F$44,LEFT($A212,2)='DB2'!$G$45,'DB2'!$F$45,LEFT($A212,2)='DB2'!$G$46,'DB2'!$F$46,LEFT($A212,2)=LEFT('DB2'!$G$47,2),'DB2'!$F$47)</f>
        <v>General Project</v>
      </c>
      <c r="C212" s="16" t="str">
        <f>VLOOKUP($A212,'DB1'!$C:$Q,12,0)</f>
        <v>Transitioning the Air Quality Management System to Simultaneously Promote Carbon Neutrality  and Air Pollution Reduction</v>
      </c>
      <c r="D212" s="12" t="str">
        <f>VLOOKUP($A212,'DB1'!$C:$Q,13,0)</f>
        <v>공동과책 확인</v>
      </c>
      <c r="E212" s="16" t="str">
        <f>VLOOKUP($A212,'DB1'!$C:$Q,14,0)</f>
        <v>Atmospheric Environment</v>
      </c>
      <c r="F212" s="16" t="str">
        <f>VLOOKUP($A212,'DB1'!$C:$Q,15,0)</f>
        <v>Climate Environment (GHG Reduction)</v>
      </c>
      <c r="G212" s="17">
        <f>VLOOKUP($A212,'DB1'!$C:$Q,9,0)</f>
        <v>45413</v>
      </c>
      <c r="H212" s="17">
        <f>VLOOKUP($A212,'DB1'!$C:$Q,10,0)</f>
        <v>45777</v>
      </c>
    </row>
    <row r="213" spans="1:8" ht="33">
      <c r="A213" t="str">
        <f>'DB1'!$C210</f>
        <v>RR2024-11</v>
      </c>
      <c r="B213" s="16" t="str" cm="1">
        <f t="array" ref="B213">_xlfn.IFS(LEFT($A213,2)='DB2'!$G$43,'DB2'!$F$43,LEFT($A213,2)='DB2'!$G$44,'DB2'!$F$44,LEFT($A213,2)='DB2'!$H$44,'DB2'!$F$44,LEFT($A213,2)='DB2'!$I$44,'DB2'!$F$44,LEFT($A213,2)='DB2'!$J$44,'DB2'!$F$44,LEFT($A213,2)='DB2'!$G$45,'DB2'!$F$45,LEFT($A213,2)='DB2'!$G$46,'DB2'!$F$46,LEFT($A213,2)=LEFT('DB2'!$G$47,2),'DB2'!$F$47)</f>
        <v>General Project</v>
      </c>
      <c r="C213" s="16" t="str">
        <f>VLOOKUP($A213,'DB1'!$C:$Q,12,0)</f>
        <v>Environmental Assessment Strategies for River Projects in Response to the Climate Crisis</v>
      </c>
      <c r="D213" s="12" t="str">
        <f>VLOOKUP($A213,'DB1'!$C:$Q,13,0)</f>
        <v>Lee, Jinhee</v>
      </c>
      <c r="E213" s="16" t="str">
        <f>VLOOKUP($A213,'DB1'!$C:$Q,14,0)</f>
        <v>Environmental Assessment</v>
      </c>
      <c r="F213" s="16" t="str">
        <f>VLOOKUP($A213,'DB1'!$C:$Q,15,0)</f>
        <v>Water Management</v>
      </c>
      <c r="G213" s="17">
        <f>VLOOKUP($A213,'DB1'!$C:$Q,9,0)</f>
        <v>45413</v>
      </c>
      <c r="H213" s="17">
        <f>VLOOKUP($A213,'DB1'!$C:$Q,10,0)</f>
        <v>45777</v>
      </c>
    </row>
    <row r="214" spans="1:8" ht="49.5">
      <c r="A214" t="str">
        <f>'DB1'!$C211</f>
        <v>RR2024-14</v>
      </c>
      <c r="B214" s="16" t="str" cm="1">
        <f t="array" ref="B214">_xlfn.IFS(LEFT($A214,2)='DB2'!$G$43,'DB2'!$F$43,LEFT($A214,2)='DB2'!$G$44,'DB2'!$F$44,LEFT($A214,2)='DB2'!$H$44,'DB2'!$F$44,LEFT($A214,2)='DB2'!$I$44,'DB2'!$F$44,LEFT($A214,2)='DB2'!$J$44,'DB2'!$F$44,LEFT($A214,2)='DB2'!$G$45,'DB2'!$F$45,LEFT($A214,2)='DB2'!$G$46,'DB2'!$F$46,LEFT($A214,2)=LEFT('DB2'!$G$47,2),'DB2'!$F$47)</f>
        <v>General Project</v>
      </c>
      <c r="C214" s="16" t="str">
        <f>VLOOKUP($A214,'DB1'!$C:$Q,12,0)</f>
        <v>International Comparison of Renewable Energy  and Grid Integration Planning Schemes</v>
      </c>
      <c r="D214" s="12" t="str">
        <f>VLOOKUP($A214,'DB1'!$C:$Q,13,0)</f>
        <v>Lee, Jae-hyuck</v>
      </c>
      <c r="E214" s="16" t="str">
        <f>VLOOKUP($A214,'DB1'!$C:$Q,14,0)</f>
        <v>Climate Environment (GHG Reduction)</v>
      </c>
      <c r="F214" s="16" t="str">
        <f>VLOOKUP($A214,'DB1'!$C:$Q,15,0)</f>
        <v>International &amp; Regional Collaboration</v>
      </c>
      <c r="G214" s="17">
        <f>VLOOKUP($A214,'DB1'!$C:$Q,9,0)</f>
        <v>45413</v>
      </c>
      <c r="H214" s="17">
        <f>VLOOKUP($A214,'DB1'!$C:$Q,10,0)</f>
        <v>45777</v>
      </c>
    </row>
    <row r="215" spans="1:8" ht="33">
      <c r="A215" t="str">
        <f>'DB1'!$C212</f>
        <v>RR2024-15</v>
      </c>
      <c r="B215" s="16" t="str" cm="1">
        <f t="array" ref="B215">_xlfn.IFS(LEFT($A215,2)='DB2'!$G$43,'DB2'!$F$43,LEFT($A215,2)='DB2'!$G$44,'DB2'!$F$44,LEFT($A215,2)='DB2'!$H$44,'DB2'!$F$44,LEFT($A215,2)='DB2'!$I$44,'DB2'!$F$44,LEFT($A215,2)='DB2'!$J$44,'DB2'!$F$44,LEFT($A215,2)='DB2'!$G$45,'DB2'!$F$45,LEFT($A215,2)='DB2'!$G$46,'DB2'!$F$46,LEFT($A215,2)=LEFT('DB2'!$G$47,2),'DB2'!$F$47)</f>
        <v>General Project</v>
      </c>
      <c r="C215" s="16" t="str">
        <f>VLOOKUP($A215,'DB1'!$C:$Q,12,0)</f>
        <v>Comparative Study on Urban Planning Elements and Policy Acceptability to Reduce Residents’  Carbon Footprint</v>
      </c>
      <c r="D215" s="12" t="str">
        <f>VLOOKUP($A215,'DB1'!$C:$Q,13,0)</f>
        <v xml:space="preserve">Kim, Taehyun </v>
      </c>
      <c r="E215" s="16" t="str">
        <f>VLOOKUP($A215,'DB1'!$C:$Q,14,0)</f>
        <v>Land Management and Environment</v>
      </c>
      <c r="F215" s="16" t="str">
        <f>VLOOKUP($A215,'DB1'!$C:$Q,15,0)</f>
        <v>Climate Environment (GHG Reduction)</v>
      </c>
      <c r="G215" s="17">
        <f>VLOOKUP($A215,'DB1'!$C:$Q,9,0)</f>
        <v>45413</v>
      </c>
      <c r="H215" s="17">
        <f>VLOOKUP($A215,'DB1'!$C:$Q,10,0)</f>
        <v>45777</v>
      </c>
    </row>
    <row r="216" spans="1:8" ht="33">
      <c r="A216" t="str">
        <f>'DB1'!$C213</f>
        <v>RR2024-17</v>
      </c>
      <c r="B216" s="16" t="str" cm="1">
        <f t="array" ref="B216">_xlfn.IFS(LEFT($A216,2)='DB2'!$G$43,'DB2'!$F$43,LEFT($A216,2)='DB2'!$G$44,'DB2'!$F$44,LEFT($A216,2)='DB2'!$H$44,'DB2'!$F$44,LEFT($A216,2)='DB2'!$I$44,'DB2'!$F$44,LEFT($A216,2)='DB2'!$J$44,'DB2'!$F$44,LEFT($A216,2)='DB2'!$G$45,'DB2'!$F$45,LEFT($A216,2)='DB2'!$G$46,'DB2'!$F$46,LEFT($A216,2)=LEFT('DB2'!$G$47,2),'DB2'!$F$47)</f>
        <v>General Project</v>
      </c>
      <c r="C216" s="16" t="str">
        <f>VLOOKUP($A216,'DB1'!$C:$Q,12,0)</f>
        <v>Development and Operation of an Environmental Policy Data Service Hub</v>
      </c>
      <c r="D216" s="12" t="str">
        <f>VLOOKUP($A216,'DB1'!$C:$Q,13,0)</f>
        <v>Jin, Daeyong</v>
      </c>
      <c r="E216" s="16" t="str">
        <f>VLOOKUP($A216,'DB1'!$C:$Q,14,0)</f>
        <v>Environmental Informatics</v>
      </c>
      <c r="F216" s="16">
        <f>VLOOKUP($A216,'DB1'!$C:$Q,15,0)</f>
        <v>0</v>
      </c>
      <c r="G216" s="17">
        <f>VLOOKUP($A216,'DB1'!$C:$Q,9,0)</f>
        <v>45413</v>
      </c>
      <c r="H216" s="17">
        <f>VLOOKUP($A216,'DB1'!$C:$Q,10,0)</f>
        <v>45777</v>
      </c>
    </row>
    <row r="217" spans="1:8" ht="49.5">
      <c r="A217" t="str">
        <f>'DB1'!$C214</f>
        <v>RR2024-18</v>
      </c>
      <c r="B217" s="16" t="str" cm="1">
        <f t="array" ref="B217">_xlfn.IFS(LEFT($A217,2)='DB2'!$G$43,'DB2'!$F$43,LEFT($A217,2)='DB2'!$G$44,'DB2'!$F$44,LEFT($A217,2)='DB2'!$H$44,'DB2'!$F$44,LEFT($A217,2)='DB2'!$I$44,'DB2'!$F$44,LEFT($A217,2)='DB2'!$J$44,'DB2'!$F$44,LEFT($A217,2)='DB2'!$G$45,'DB2'!$F$45,LEFT($A217,2)='DB2'!$G$46,'DB2'!$F$46,LEFT($A217,2)=LEFT('DB2'!$G$47,2),'DB2'!$F$47)</f>
        <v>General Project</v>
      </c>
      <c r="C217" s="16" t="str">
        <f>VLOOKUP($A217,'DB1'!$C:$Q,12,0)</f>
        <v>Development of a Global Environmental Knowledge Cooperation Platform</v>
      </c>
      <c r="D217" s="12" t="str">
        <f>VLOOKUP($A217,'DB1'!$C:$Q,13,0)</f>
        <v>Park, Jun Hyun</v>
      </c>
      <c r="E217" s="16" t="str">
        <f>VLOOKUP($A217,'DB1'!$C:$Q,14,0)</f>
        <v>International &amp; Regional Collaboration</v>
      </c>
      <c r="F217" s="16">
        <f>VLOOKUP($A217,'DB1'!$C:$Q,15,0)</f>
        <v>0</v>
      </c>
      <c r="G217" s="17">
        <f>VLOOKUP($A217,'DB1'!$C:$Q,9,0)</f>
        <v>45413</v>
      </c>
      <c r="H217" s="17">
        <f>VLOOKUP($A217,'DB1'!$C:$Q,10,0)</f>
        <v>45838</v>
      </c>
    </row>
    <row r="218" spans="1:8" ht="33">
      <c r="A218" t="str">
        <f>'DB1'!$C215</f>
        <v>RR2025-01</v>
      </c>
      <c r="B218" s="16" t="str" cm="1">
        <f t="array" ref="B218">_xlfn.IFS(LEFT($A218,2)='DB2'!$G$43,'DB2'!$F$43,LEFT($A218,2)='DB2'!$G$44,'DB2'!$F$44,LEFT($A218,2)='DB2'!$H$44,'DB2'!$F$44,LEFT($A218,2)='DB2'!$I$44,'DB2'!$F$44,LEFT($A218,2)='DB2'!$J$44,'DB2'!$F$44,LEFT($A218,2)='DB2'!$G$45,'DB2'!$F$45,LEFT($A218,2)='DB2'!$G$46,'DB2'!$F$46,LEFT($A218,2)=LEFT('DB2'!$G$47,2),'DB2'!$F$47)</f>
        <v>General Project</v>
      </c>
      <c r="C218" s="16" t="str">
        <f>VLOOKUP($A218,'DB1'!$C:$Q,12,0)</f>
        <v>Improving Dam Construction and Management for Water Environment Conservation: Focusing on Climate-Resilient Dam</v>
      </c>
      <c r="D218" s="12" t="str">
        <f>VLOOKUP($A218,'DB1'!$C:$Q,13,0)</f>
        <v>Jeon, Dongjin</v>
      </c>
      <c r="E218" s="16" t="str">
        <f>VLOOKUP($A218,'DB1'!$C:$Q,14,0)</f>
        <v>Water Management</v>
      </c>
      <c r="F218" s="16" t="str">
        <f>VLOOKUP($A218,'DB1'!$C:$Q,15,0)</f>
        <v>Climate Adaptation</v>
      </c>
      <c r="G218" s="17">
        <f>VLOOKUP($A218,'DB1'!$C:$Q,9,0)</f>
        <v>45748</v>
      </c>
      <c r="H218" s="17">
        <f>VLOOKUP($A218,'DB1'!$C:$Q,10,0)</f>
        <v>45930</v>
      </c>
    </row>
    <row r="219" spans="1:8" ht="33">
      <c r="A219" t="str">
        <f>'DB1'!$C216</f>
        <v>RR2025-02</v>
      </c>
      <c r="B219" s="16" t="str" cm="1">
        <f t="array" ref="B219">_xlfn.IFS(LEFT($A219,2)='DB2'!$G$43,'DB2'!$F$43,LEFT($A219,2)='DB2'!$G$44,'DB2'!$F$44,LEFT($A219,2)='DB2'!$H$44,'DB2'!$F$44,LEFT($A219,2)='DB2'!$I$44,'DB2'!$F$44,LEFT($A219,2)='DB2'!$J$44,'DB2'!$F$44,LEFT($A219,2)='DB2'!$G$45,'DB2'!$F$45,LEFT($A219,2)='DB2'!$G$46,'DB2'!$F$46,LEFT($A219,2)=LEFT('DB2'!$G$47,2),'DB2'!$F$47)</f>
        <v>General Project</v>
      </c>
      <c r="C219" s="16" t="str">
        <f>VLOOKUP($A219,'DB1'!$C:$Q,12,0)</f>
        <v>Study on the Establishment of a National Circular Bioeconomy Strategy</v>
      </c>
      <c r="D219" s="12" t="str">
        <f>VLOOKUP($A219,'DB1'!$C:$Q,13,0)</f>
        <v xml:space="preserve">Ju, Munsol </v>
      </c>
      <c r="E219" s="16" t="str">
        <f>VLOOKUP($A219,'DB1'!$C:$Q,14,0)</f>
        <v>Circular Economy</v>
      </c>
      <c r="F219" s="16" t="str">
        <f>VLOOKUP($A219,'DB1'!$C:$Q,15,0)</f>
        <v>Environmental Economics</v>
      </c>
      <c r="G219" s="17">
        <f>VLOOKUP($A219,'DB1'!$C:$Q,9,0)</f>
        <v>45748</v>
      </c>
      <c r="H219" s="17">
        <f>VLOOKUP($A219,'DB1'!$C:$Q,10,0)</f>
        <v>45930</v>
      </c>
    </row>
    <row r="220" spans="1:8" ht="33">
      <c r="A220" t="str">
        <f>'DB1'!$C217</f>
        <v>RR2025-03</v>
      </c>
      <c r="B220" s="16" t="str" cm="1">
        <f t="array" ref="B220">_xlfn.IFS(LEFT($A220,2)='DB2'!$G$43,'DB2'!$F$43,LEFT($A220,2)='DB2'!$G$44,'DB2'!$F$44,LEFT($A220,2)='DB2'!$H$44,'DB2'!$F$44,LEFT($A220,2)='DB2'!$I$44,'DB2'!$F$44,LEFT($A220,2)='DB2'!$J$44,'DB2'!$F$44,LEFT($A220,2)='DB2'!$G$45,'DB2'!$F$45,LEFT($A220,2)='DB2'!$G$46,'DB2'!$F$46,LEFT($A220,2)=LEFT('DB2'!$G$47,2),'DB2'!$F$47)</f>
        <v>General Project</v>
      </c>
      <c r="C220" s="16" t="str">
        <f>VLOOKUP($A220,'DB1'!$C:$Q,12,0)</f>
        <v>Policy Tasks and Directions for the Rational Use of Groundwater Dam Water</v>
      </c>
      <c r="D220" s="12" t="str">
        <f>VLOOKUP($A220,'DB1'!$C:$Q,13,0)</f>
        <v>Hyun, Yunjung</v>
      </c>
      <c r="E220" s="16" t="str">
        <f>VLOOKUP($A220,'DB1'!$C:$Q,14,0)</f>
        <v>Water Management</v>
      </c>
      <c r="F220" s="16" t="str">
        <f>VLOOKUP($A220,'DB1'!$C:$Q,15,0)</f>
        <v>Land Management and Environment</v>
      </c>
      <c r="G220" s="17">
        <f>VLOOKUP($A220,'DB1'!$C:$Q,9,0)</f>
        <v>45748</v>
      </c>
      <c r="H220" s="17">
        <f>VLOOKUP($A220,'DB1'!$C:$Q,10,0)</f>
        <v>45930</v>
      </c>
    </row>
    <row r="221" spans="1:8" ht="33">
      <c r="A221" t="str">
        <f>'DB1'!$C218</f>
        <v>RR2025-04</v>
      </c>
      <c r="B221" s="16" t="str" cm="1">
        <f t="array" ref="B221">_xlfn.IFS(LEFT($A221,2)='DB2'!$G$43,'DB2'!$F$43,LEFT($A221,2)='DB2'!$G$44,'DB2'!$F$44,LEFT($A221,2)='DB2'!$H$44,'DB2'!$F$44,LEFT($A221,2)='DB2'!$I$44,'DB2'!$F$44,LEFT($A221,2)='DB2'!$J$44,'DB2'!$F$44,LEFT($A221,2)='DB2'!$G$45,'DB2'!$F$45,LEFT($A221,2)='DB2'!$G$46,'DB2'!$F$46,LEFT($A221,2)=LEFT('DB2'!$G$47,2),'DB2'!$F$47)</f>
        <v>General Project</v>
      </c>
      <c r="C221" s="16" t="str">
        <f>VLOOKUP($A221,'DB1'!$C:$Q,12,0)</f>
        <v>Air Quality Impacts and Management of Non-Exhaust Emissions in the Transportation Sector</v>
      </c>
      <c r="D221" s="12" t="str">
        <f>VLOOKUP($A221,'DB1'!$C:$Q,13,0)</f>
        <v>Choi, Ki-Chul</v>
      </c>
      <c r="E221" s="16" t="str">
        <f>VLOOKUP($A221,'DB1'!$C:$Q,14,0)</f>
        <v>Atmospheric Environment</v>
      </c>
      <c r="F221" s="16" t="str">
        <f>VLOOKUP($A221,'DB1'!$C:$Q,15,0)</f>
        <v>Environmental Health</v>
      </c>
      <c r="G221" s="17">
        <f>VLOOKUP($A221,'DB1'!$C:$Q,9,0)</f>
        <v>45748</v>
      </c>
      <c r="H221" s="17">
        <f>VLOOKUP($A221,'DB1'!$C:$Q,10,0)</f>
        <v>45930</v>
      </c>
    </row>
    <row r="222" spans="1:8" ht="33">
      <c r="A222" t="str">
        <f>'DB1'!$C219</f>
        <v>RR2025-05</v>
      </c>
      <c r="B222" s="16" t="str" cm="1">
        <f t="array" ref="B222">_xlfn.IFS(LEFT($A222,2)='DB2'!$G$43,'DB2'!$F$43,LEFT($A222,2)='DB2'!$G$44,'DB2'!$F$44,LEFT($A222,2)='DB2'!$H$44,'DB2'!$F$44,LEFT($A222,2)='DB2'!$I$44,'DB2'!$F$44,LEFT($A222,2)='DB2'!$J$44,'DB2'!$F$44,LEFT($A222,2)='DB2'!$G$45,'DB2'!$F$45,LEFT($A222,2)='DB2'!$G$46,'DB2'!$F$46,LEFT($A222,2)=LEFT('DB2'!$G$47,2),'DB2'!$F$47)</f>
        <v>General Project</v>
      </c>
      <c r="C222" s="16" t="str">
        <f>VLOOKUP($A222,'DB1'!$C:$Q,12,0)</f>
        <v>Feasibility Assessment Framework for Transplantation of Legally Protected Plants</v>
      </c>
      <c r="D222" s="12" t="str">
        <f>VLOOKUP($A222,'DB1'!$C:$Q,13,0)</f>
        <v xml:space="preserve">Heo, Namjoo </v>
      </c>
      <c r="E222" s="16" t="str">
        <f>VLOOKUP($A222,'DB1'!$C:$Q,14,0)</f>
        <v>Environmental Assessment</v>
      </c>
      <c r="F222" s="16" t="str">
        <f>VLOOKUP($A222,'DB1'!$C:$Q,15,0)</f>
        <v>Ecology</v>
      </c>
      <c r="G222" s="17">
        <f>VLOOKUP($A222,'DB1'!$C:$Q,9,0)</f>
        <v>45778</v>
      </c>
      <c r="H222" s="17">
        <f>VLOOKUP($A222,'DB1'!$C:$Q,10,0)</f>
        <v>45961</v>
      </c>
    </row>
    <row r="223" spans="1:8" ht="33">
      <c r="A223" t="str">
        <f>'DB1'!$C220</f>
        <v>RR2025-06</v>
      </c>
      <c r="B223" s="16" t="str" cm="1">
        <f t="array" ref="B223">_xlfn.IFS(LEFT($A223,2)='DB2'!$G$43,'DB2'!$F$43,LEFT($A223,2)='DB2'!$G$44,'DB2'!$F$44,LEFT($A223,2)='DB2'!$H$44,'DB2'!$F$44,LEFT($A223,2)='DB2'!$I$44,'DB2'!$F$44,LEFT($A223,2)='DB2'!$J$44,'DB2'!$F$44,LEFT($A223,2)='DB2'!$G$45,'DB2'!$F$45,LEFT($A223,2)='DB2'!$G$46,'DB2'!$F$46,LEFT($A223,2)=LEFT('DB2'!$G$47,2),'DB2'!$F$47)</f>
        <v>General Project</v>
      </c>
      <c r="C223" s="16" t="str">
        <f>VLOOKUP($A223,'DB1'!$C:$Q,12,0)</f>
        <v>Development and Application of an Indicator System for Comprehensive Environmental Status Assessment</v>
      </c>
      <c r="D223" s="12" t="str">
        <f>VLOOKUP($A223,'DB1'!$C:$Q,13,0)</f>
        <v>Kim, Jongho</v>
      </c>
      <c r="E223" s="16" t="str">
        <f>VLOOKUP($A223,'DB1'!$C:$Q,14,0)</f>
        <v>Environmental Informatics</v>
      </c>
      <c r="F223" s="16" t="str">
        <f>VLOOKUP($A223,'DB1'!$C:$Q,15,0)</f>
        <v>Socio-Environmental Interface</v>
      </c>
      <c r="G223" s="17">
        <f>VLOOKUP($A223,'DB1'!$C:$Q,9,0)</f>
        <v>45778</v>
      </c>
      <c r="H223" s="17">
        <f>VLOOKUP($A223,'DB1'!$C:$Q,10,0)</f>
        <v>46142</v>
      </c>
    </row>
    <row r="224" spans="1:8" ht="33">
      <c r="A224" t="str">
        <f>'DB1'!$C221</f>
        <v>RR2025-07</v>
      </c>
      <c r="B224" s="16" t="str" cm="1">
        <f t="array" ref="B224">_xlfn.IFS(LEFT($A224,2)='DB2'!$G$43,'DB2'!$F$43,LEFT($A224,2)='DB2'!$G$44,'DB2'!$F$44,LEFT($A224,2)='DB2'!$H$44,'DB2'!$F$44,LEFT($A224,2)='DB2'!$I$44,'DB2'!$F$44,LEFT($A224,2)='DB2'!$J$44,'DB2'!$F$44,LEFT($A224,2)='DB2'!$G$45,'DB2'!$F$45,LEFT($A224,2)='DB2'!$G$46,'DB2'!$F$46,LEFT($A224,2)=LEFT('DB2'!$G$47,2),'DB2'!$F$47)</f>
        <v>General Project</v>
      </c>
      <c r="C224" s="16" t="str">
        <f>VLOOKUP($A224,'DB1'!$C:$Q,12,0)</f>
        <v>Estimating Social Cost of Carbon by Using GIVE Model</v>
      </c>
      <c r="D224" s="12" t="str">
        <f>VLOOKUP($A224,'DB1'!$C:$Q,13,0)</f>
        <v xml:space="preserve">Kim, Hyun-gyu </v>
      </c>
      <c r="E224" s="16" t="str">
        <f>VLOOKUP($A224,'DB1'!$C:$Q,14,0)</f>
        <v>Environmental Economics</v>
      </c>
      <c r="F224" s="16" t="str">
        <f>VLOOKUP($A224,'DB1'!$C:$Q,15,0)</f>
        <v>Climate Environment (GHG Reduction)</v>
      </c>
      <c r="G224" s="17">
        <f>VLOOKUP($A224,'DB1'!$C:$Q,9,0)</f>
        <v>45778</v>
      </c>
      <c r="H224" s="17">
        <f>VLOOKUP($A224,'DB1'!$C:$Q,10,0)</f>
        <v>46142</v>
      </c>
    </row>
    <row r="225" spans="1:8" ht="33">
      <c r="A225" t="str">
        <f>'DB1'!$C222</f>
        <v>RR2025-08</v>
      </c>
      <c r="B225" s="16" t="str" cm="1">
        <f t="array" ref="B225">_xlfn.IFS(LEFT($A225,2)='DB2'!$G$43,'DB2'!$F$43,LEFT($A225,2)='DB2'!$G$44,'DB2'!$F$44,LEFT($A225,2)='DB2'!$H$44,'DB2'!$F$44,LEFT($A225,2)='DB2'!$I$44,'DB2'!$F$44,LEFT($A225,2)='DB2'!$J$44,'DB2'!$F$44,LEFT($A225,2)='DB2'!$G$45,'DB2'!$F$45,LEFT($A225,2)='DB2'!$G$46,'DB2'!$F$46,LEFT($A225,2)=LEFT('DB2'!$G$47,2),'DB2'!$F$47)</f>
        <v>General Project</v>
      </c>
      <c r="C225" s="16" t="str">
        <f>VLOOKUP($A225,'DB1'!$C:$Q,12,0)</f>
        <v>Strategies for Integrating Climate Measures into Spatial Planning</v>
      </c>
      <c r="D225" s="12" t="str">
        <f>VLOOKUP($A225,'DB1'!$C:$Q,13,0)</f>
        <v xml:space="preserve">Song, Jiyoon </v>
      </c>
      <c r="E225" s="16" t="str">
        <f>VLOOKUP($A225,'DB1'!$C:$Q,14,0)</f>
        <v>Land Management and Environment</v>
      </c>
      <c r="F225" s="16" t="str">
        <f>VLOOKUP($A225,'DB1'!$C:$Q,15,0)</f>
        <v>Climate Environment (GHG Reduction)</v>
      </c>
      <c r="G225" s="17">
        <f>VLOOKUP($A225,'DB1'!$C:$Q,9,0)</f>
        <v>45778</v>
      </c>
      <c r="H225" s="17">
        <f>VLOOKUP($A225,'DB1'!$C:$Q,10,0)</f>
        <v>46142</v>
      </c>
    </row>
    <row r="226" spans="1:8" ht="33">
      <c r="A226" t="str">
        <f>'DB1'!$C223</f>
        <v>RR2025-09</v>
      </c>
      <c r="B226" s="16" t="str" cm="1">
        <f t="array" ref="B226">_xlfn.IFS(LEFT($A226,2)='DB2'!$G$43,'DB2'!$F$43,LEFT($A226,2)='DB2'!$G$44,'DB2'!$F$44,LEFT($A226,2)='DB2'!$H$44,'DB2'!$F$44,LEFT($A226,2)='DB2'!$I$44,'DB2'!$F$44,LEFT($A226,2)='DB2'!$J$44,'DB2'!$F$44,LEFT($A226,2)='DB2'!$G$45,'DB2'!$F$45,LEFT($A226,2)='DB2'!$G$46,'DB2'!$F$46,LEFT($A226,2)=LEFT('DB2'!$G$47,2),'DB2'!$F$47)</f>
        <v>General Project</v>
      </c>
      <c r="C226" s="16" t="str">
        <f>VLOOKUP($A226,'DB1'!$C:$Q,12,0)</f>
        <v>Improving Integrated Management Policies for Piled Compost in River Zones</v>
      </c>
      <c r="D226" s="12" t="str">
        <f>VLOOKUP($A226,'DB1'!$C:$Q,13,0)</f>
        <v xml:space="preserve">Rhee, Youngjoon </v>
      </c>
      <c r="E226" s="16" t="str">
        <f>VLOOKUP($A226,'DB1'!$C:$Q,14,0)</f>
        <v>Water Management</v>
      </c>
      <c r="F226" s="16" t="str">
        <f>VLOOKUP($A226,'DB1'!$C:$Q,15,0)</f>
        <v>Environmental Assessment</v>
      </c>
      <c r="G226" s="17">
        <f>VLOOKUP($A226,'DB1'!$C:$Q,9,0)</f>
        <v>45778</v>
      </c>
      <c r="H226" s="17">
        <f>VLOOKUP($A226,'DB1'!$C:$Q,10,0)</f>
        <v>46142</v>
      </c>
    </row>
    <row r="227" spans="1:8" ht="33">
      <c r="A227" t="str">
        <f>'DB1'!$C224</f>
        <v>RR2025-10</v>
      </c>
      <c r="B227" s="16" t="str" cm="1">
        <f t="array" ref="B227">_xlfn.IFS(LEFT($A227,2)='DB2'!$G$43,'DB2'!$F$43,LEFT($A227,2)='DB2'!$G$44,'DB2'!$F$44,LEFT($A227,2)='DB2'!$H$44,'DB2'!$F$44,LEFT($A227,2)='DB2'!$I$44,'DB2'!$F$44,LEFT($A227,2)='DB2'!$J$44,'DB2'!$F$44,LEFT($A227,2)='DB2'!$G$45,'DB2'!$F$45,LEFT($A227,2)='DB2'!$G$46,'DB2'!$F$46,LEFT($A227,2)=LEFT('DB2'!$G$47,2),'DB2'!$F$47)</f>
        <v>General Project</v>
      </c>
      <c r="C227" s="16" t="str">
        <f>VLOOKUP($A227,'DB1'!$C:$Q,12,0)</f>
        <v>Legal and Institutional Reform for Integrated Estuary Management</v>
      </c>
      <c r="D227" s="12" t="str">
        <f>VLOOKUP($A227,'DB1'!$C:$Q,13,0)</f>
        <v>Kim, Choong-ki</v>
      </c>
      <c r="E227" s="16" t="str">
        <f>VLOOKUP($A227,'DB1'!$C:$Q,14,0)</f>
        <v>Marine Environment</v>
      </c>
      <c r="F227" s="16" t="str">
        <f>VLOOKUP($A227,'DB1'!$C:$Q,15,0)</f>
        <v>Land Management and Environment</v>
      </c>
      <c r="G227" s="17">
        <f>VLOOKUP($A227,'DB1'!$C:$Q,9,0)</f>
        <v>45778</v>
      </c>
      <c r="H227" s="17">
        <f>VLOOKUP($A227,'DB1'!$C:$Q,10,0)</f>
        <v>46142</v>
      </c>
    </row>
    <row r="228" spans="1:8" ht="49.5">
      <c r="A228" t="str">
        <f>'DB1'!$C225</f>
        <v>SP2025-03</v>
      </c>
      <c r="B228" s="16" t="str" cm="1">
        <f t="array" ref="B228">_xlfn.IFS(LEFT($A228,2)='DB2'!$G$43,'DB2'!$F$43,LEFT($A228,2)='DB2'!$G$44,'DB2'!$F$44,LEFT($A228,2)='DB2'!$H$44,'DB2'!$F$44,LEFT($A228,2)='DB2'!$I$44,'DB2'!$F$44,LEFT($A228,2)='DB2'!$J$44,'DB2'!$F$44,LEFT($A228,2)='DB2'!$G$45,'DB2'!$F$45,LEFT($A228,2)='DB2'!$G$46,'DB2'!$F$46,LEFT($A228,2)=LEFT('DB2'!$G$47,2),'DB2'!$F$47)</f>
        <v>General Project</v>
      </c>
      <c r="C228" s="16" t="str">
        <f>VLOOKUP($A228,'DB1'!$C:$Q,12,0)</f>
        <v>Management of the Network of Institutions for Sustainable Development (NISD)</v>
      </c>
      <c r="D228" s="12" t="str">
        <f>VLOOKUP($A228,'DB1'!$C:$Q,13,0)</f>
        <v>Park, Jun Hyun</v>
      </c>
      <c r="E228" s="16" t="str">
        <f>VLOOKUP($A228,'DB1'!$C:$Q,14,0)</f>
        <v>International &amp; Regional Collaboration</v>
      </c>
      <c r="F228" s="16">
        <f>VLOOKUP($A228,'DB1'!$C:$Q,15,0)</f>
        <v>0</v>
      </c>
      <c r="G228" s="17">
        <f>VLOOKUP($A228,'DB1'!$C:$Q,9,0)</f>
        <v>45658</v>
      </c>
      <c r="H228" s="17">
        <f>VLOOKUP($A228,'DB1'!$C:$Q,10,0)</f>
        <v>46022</v>
      </c>
    </row>
    <row r="229" spans="1:8" ht="33">
      <c r="A229" t="str">
        <f>'DB1'!$C226</f>
        <v>WO2024-08-02</v>
      </c>
      <c r="B229" s="16" t="str" cm="1">
        <f t="array" ref="B229">_xlfn.IFS(LEFT($A229,2)='DB2'!$G$43,'DB2'!$F$43,LEFT($A229,2)='DB2'!$G$44,'DB2'!$F$44,LEFT($A229,2)='DB2'!$H$44,'DB2'!$F$44,LEFT($A229,2)='DB2'!$I$44,'DB2'!$F$44,LEFT($A229,2)='DB2'!$J$44,'DB2'!$F$44,LEFT($A229,2)='DB2'!$G$45,'DB2'!$F$45,LEFT($A229,2)='DB2'!$G$46,'DB2'!$F$46,LEFT($A229,2)=LEFT('DB2'!$G$47,2),'DB2'!$F$47)</f>
        <v>Policy Issue Study</v>
      </c>
      <c r="C229" s="16" t="str">
        <f>VLOOKUP($A229,'DB1'!$C:$Q,12,0)</f>
        <v>Establishing a Clothing Waste Recycling System in Korea</v>
      </c>
      <c r="D229" s="12" t="str">
        <f>VLOOKUP($A229,'DB1'!$C:$Q,13,0)</f>
        <v xml:space="preserve">Ju, Munsol </v>
      </c>
      <c r="E229" s="16" t="str">
        <f>VLOOKUP($A229,'DB1'!$C:$Q,14,0)</f>
        <v>Circular Economy</v>
      </c>
      <c r="F229" s="16" t="str">
        <f>VLOOKUP($A229,'DB1'!$C:$Q,15,0)</f>
        <v>Socio-Environmental Interface</v>
      </c>
      <c r="G229" s="17">
        <f>VLOOKUP($A229,'DB1'!$C:$Q,9,0)</f>
        <v>45658</v>
      </c>
      <c r="H229" s="17">
        <f>VLOOKUP($A229,'DB1'!$C:$Q,10,0)</f>
        <v>45777</v>
      </c>
    </row>
    <row r="230" spans="1:8" ht="33">
      <c r="A230" t="str">
        <f>'DB1'!$C227</f>
        <v>WO2024-09-02</v>
      </c>
      <c r="B230" s="16" t="str" cm="1">
        <f t="array" ref="B230">_xlfn.IFS(LEFT($A230,2)='DB2'!$G$43,'DB2'!$F$43,LEFT($A230,2)='DB2'!$G$44,'DB2'!$F$44,LEFT($A230,2)='DB2'!$H$44,'DB2'!$F$44,LEFT($A230,2)='DB2'!$I$44,'DB2'!$F$44,LEFT($A230,2)='DB2'!$J$44,'DB2'!$F$44,LEFT($A230,2)='DB2'!$G$45,'DB2'!$F$45,LEFT($A230,2)='DB2'!$G$46,'DB2'!$F$46,LEFT($A230,2)=LEFT('DB2'!$G$47,2),'DB2'!$F$47)</f>
        <v>Policy Issue Study</v>
      </c>
      <c r="C230" s="16" t="str">
        <f>VLOOKUP($A230,'DB1'!$C:$Q,12,0)</f>
        <v>Strengthening Water Demand Management at the Usage Phase: Focusing on High Water-Consumption Facilities</v>
      </c>
      <c r="D230" s="12" t="str">
        <f>VLOOKUP($A230,'DB1'!$C:$Q,13,0)</f>
        <v xml:space="preserve">Oh, Myoungjin </v>
      </c>
      <c r="E230" s="16" t="str">
        <f>VLOOKUP($A230,'DB1'!$C:$Q,14,0)</f>
        <v>Water Management</v>
      </c>
      <c r="F230" s="16">
        <f>VLOOKUP($A230,'DB1'!$C:$Q,15,0)</f>
        <v>0</v>
      </c>
      <c r="G230" s="17">
        <f>VLOOKUP($A230,'DB1'!$C:$Q,9,0)</f>
        <v>45658</v>
      </c>
      <c r="H230" s="17">
        <f>VLOOKUP($A230,'DB1'!$C:$Q,10,0)</f>
        <v>45777</v>
      </c>
    </row>
    <row r="231" spans="1:8" ht="33">
      <c r="A231" t="str">
        <f>'DB1'!$C228</f>
        <v>WO2025-01</v>
      </c>
      <c r="B231" s="16" t="str" cm="1">
        <f t="array" ref="B231">_xlfn.IFS(LEFT($A231,2)='DB2'!$G$43,'DB2'!$F$43,LEFT($A231,2)='DB2'!$G$44,'DB2'!$F$44,LEFT($A231,2)='DB2'!$H$44,'DB2'!$F$44,LEFT($A231,2)='DB2'!$I$44,'DB2'!$F$44,LEFT($A231,2)='DB2'!$J$44,'DB2'!$F$44,LEFT($A231,2)='DB2'!$G$45,'DB2'!$F$45,LEFT($A231,2)='DB2'!$G$46,'DB2'!$F$46,LEFT($A231,2)=LEFT('DB2'!$G$47,2),'DB2'!$F$47)</f>
        <v>Policy Issue Study</v>
      </c>
      <c r="C231" s="16" t="str">
        <f>VLOOKUP($A231,'DB1'!$C:$Q,12,0)</f>
        <v>Developing Implementation Strategies for the 'Right to Repair' to Promote a Circular Economy</v>
      </c>
      <c r="D231" s="12" t="str">
        <f>VLOOKUP($A231,'DB1'!$C:$Q,13,0)</f>
        <v>Jo, Ji Hye</v>
      </c>
      <c r="E231" s="16" t="str">
        <f>VLOOKUP($A231,'DB1'!$C:$Q,14,0)</f>
        <v>Circular Economy</v>
      </c>
      <c r="F231" s="16" t="str">
        <f>VLOOKUP($A231,'DB1'!$C:$Q,15,0)</f>
        <v>Environmental Economics</v>
      </c>
      <c r="G231" s="17">
        <f>VLOOKUP($A231,'DB1'!$C:$Q,9,0)</f>
        <v>45677</v>
      </c>
      <c r="H231" s="17">
        <f>VLOOKUP($A231,'DB1'!$C:$Q,10,0)</f>
        <v>45857</v>
      </c>
    </row>
    <row r="232" spans="1:8" ht="49.5">
      <c r="A232" t="str">
        <f>'DB1'!$C229</f>
        <v>WO2025-02</v>
      </c>
      <c r="B232" s="16" t="str" cm="1">
        <f t="array" ref="B232">_xlfn.IFS(LEFT($A232,2)='DB2'!$G$43,'DB2'!$F$43,LEFT($A232,2)='DB2'!$G$44,'DB2'!$F$44,LEFT($A232,2)='DB2'!$H$44,'DB2'!$F$44,LEFT($A232,2)='DB2'!$I$44,'DB2'!$F$44,LEFT($A232,2)='DB2'!$J$44,'DB2'!$F$44,LEFT($A232,2)='DB2'!$G$45,'DB2'!$F$45,LEFT($A232,2)='DB2'!$G$46,'DB2'!$F$46,LEFT($A232,2)=LEFT('DB2'!$G$47,2),'DB2'!$F$47)</f>
        <v>Policy Issue Study</v>
      </c>
      <c r="C232" s="16" t="str">
        <f>VLOOKUP($A232,'DB1'!$C:$Q,12,0)</f>
        <v>US-China Climate and Renewable Energy in the Trump 2.0 Era: Key Issues and Policy Implications</v>
      </c>
      <c r="D232" s="12" t="str">
        <f>VLOOKUP($A232,'DB1'!$C:$Q,13,0)</f>
        <v>Kang, Taek Goo</v>
      </c>
      <c r="E232" s="16" t="str">
        <f>VLOOKUP($A232,'DB1'!$C:$Q,14,0)</f>
        <v>Climate Environment (GHG Reduction)</v>
      </c>
      <c r="F232" s="16" t="str">
        <f>VLOOKUP($A232,'DB1'!$C:$Q,15,0)</f>
        <v>International &amp; Regional Collaboration</v>
      </c>
      <c r="G232" s="17">
        <f>VLOOKUP($A232,'DB1'!$C:$Q,9,0)</f>
        <v>45677</v>
      </c>
      <c r="H232" s="17">
        <f>VLOOKUP($A232,'DB1'!$C:$Q,10,0)</f>
        <v>45857</v>
      </c>
    </row>
    <row r="233" spans="1:8" ht="33">
      <c r="A233" t="str">
        <f>'DB1'!$C230</f>
        <v>WO2025-03</v>
      </c>
      <c r="B233" s="16" t="str" cm="1">
        <f t="array" ref="B233">_xlfn.IFS(LEFT($A233,2)='DB2'!$G$43,'DB2'!$F$43,LEFT($A233,2)='DB2'!$G$44,'DB2'!$F$44,LEFT($A233,2)='DB2'!$H$44,'DB2'!$F$44,LEFT($A233,2)='DB2'!$I$44,'DB2'!$F$44,LEFT($A233,2)='DB2'!$J$44,'DB2'!$F$44,LEFT($A233,2)='DB2'!$G$45,'DB2'!$F$45,LEFT($A233,2)='DB2'!$G$46,'DB2'!$F$46,LEFT($A233,2)=LEFT('DB2'!$G$47,2),'DB2'!$F$47)</f>
        <v>Policy Issue Study</v>
      </c>
      <c r="C233" s="16" t="str">
        <f>VLOOKUP($A233,'DB1'!$C:$Q,12,0)</f>
        <v>Developing Implementation Strategies for Integrating the Planetary Health Paradigm into Environmental Health Policy</v>
      </c>
      <c r="D233" s="12" t="str">
        <f>VLOOKUP($A233,'DB1'!$C:$Q,13,0)</f>
        <v xml:space="preserve">Jung, Dawoon </v>
      </c>
      <c r="E233" s="16" t="str">
        <f>VLOOKUP($A233,'DB1'!$C:$Q,14,0)</f>
        <v>Environmental Health</v>
      </c>
      <c r="F233" s="16" t="str">
        <f>VLOOKUP($A233,'DB1'!$C:$Q,15,0)</f>
        <v>Socio-Environmental Interface</v>
      </c>
      <c r="G233" s="17">
        <f>VLOOKUP($A233,'DB1'!$C:$Q,9,0)</f>
        <v>45677</v>
      </c>
      <c r="H233" s="17">
        <f>VLOOKUP($A233,'DB1'!$C:$Q,10,0)</f>
        <v>45857</v>
      </c>
    </row>
    <row r="234" spans="1:8" ht="33">
      <c r="A234" t="str">
        <f>'DB1'!$C231</f>
        <v>WO2025-04</v>
      </c>
      <c r="B234" s="16" t="str" cm="1">
        <f t="array" ref="B234">_xlfn.IFS(LEFT($A234,2)='DB2'!$G$43,'DB2'!$F$43,LEFT($A234,2)='DB2'!$G$44,'DB2'!$F$44,LEFT($A234,2)='DB2'!$H$44,'DB2'!$F$44,LEFT($A234,2)='DB2'!$I$44,'DB2'!$F$44,LEFT($A234,2)='DB2'!$J$44,'DB2'!$F$44,LEFT($A234,2)='DB2'!$G$45,'DB2'!$F$45,LEFT($A234,2)='DB2'!$G$46,'DB2'!$F$46,LEFT($A234,2)=LEFT('DB2'!$G$47,2),'DB2'!$F$47)</f>
        <v>Policy Issue Study</v>
      </c>
      <c r="C234" s="16" t="str">
        <f>VLOOKUP($A234,'DB1'!$C:$Q,12,0)</f>
        <v>Establishing a Performance Evaluation System Based on Policy Review for Water Industry Promotion</v>
      </c>
      <c r="D234" s="12" t="str">
        <f>VLOOKUP($A234,'DB1'!$C:$Q,13,0)</f>
        <v xml:space="preserve">Oh, Myoungjin </v>
      </c>
      <c r="E234" s="16" t="str">
        <f>VLOOKUP($A234,'DB1'!$C:$Q,14,0)</f>
        <v>Water Management</v>
      </c>
      <c r="F234" s="16" t="str">
        <f>VLOOKUP($A234,'DB1'!$C:$Q,15,0)</f>
        <v>Environmental Economics</v>
      </c>
      <c r="G234" s="17">
        <f>VLOOKUP($A234,'DB1'!$C:$Q,9,0)</f>
        <v>45839</v>
      </c>
      <c r="H234" s="17">
        <f>VLOOKUP($A234,'DB1'!$C:$Q,10,0)</f>
        <v>46022</v>
      </c>
    </row>
    <row r="235" spans="1:8" ht="33">
      <c r="A235" t="str">
        <f>'DB1'!$C232</f>
        <v>WO2025-05</v>
      </c>
      <c r="B235" s="16" t="str" cm="1">
        <f t="array" ref="B235">_xlfn.IFS(LEFT($A235,2)='DB2'!$G$43,'DB2'!$F$43,LEFT($A235,2)='DB2'!$G$44,'DB2'!$F$44,LEFT($A235,2)='DB2'!$H$44,'DB2'!$F$44,LEFT($A235,2)='DB2'!$I$44,'DB2'!$F$44,LEFT($A235,2)='DB2'!$J$44,'DB2'!$F$44,LEFT($A235,2)='DB2'!$G$45,'DB2'!$F$45,LEFT($A235,2)='DB2'!$G$46,'DB2'!$F$46,LEFT($A235,2)=LEFT('DB2'!$G$47,2),'DB2'!$F$47)</f>
        <v>Policy Issue Study</v>
      </c>
      <c r="C235" s="16" t="str">
        <f>VLOOKUP($A235,'DB1'!$C:$Q,12,0)</f>
        <v>Introducing a Special Threshold Water Level System to Reduce Flood Damage in Underground Spaces</v>
      </c>
      <c r="D235" s="12" t="str">
        <f>VLOOKUP($A235,'DB1'!$C:$Q,13,0)</f>
        <v xml:space="preserve">Lee, Seungsoo </v>
      </c>
      <c r="E235" s="16" t="str">
        <f>VLOOKUP($A235,'DB1'!$C:$Q,14,0)</f>
        <v>Water Management</v>
      </c>
      <c r="F235" s="16" t="str">
        <f>VLOOKUP($A235,'DB1'!$C:$Q,15,0)</f>
        <v>Climate Adaptation</v>
      </c>
      <c r="G235" s="17">
        <f>VLOOKUP($A235,'DB1'!$C:$Q,9,0)</f>
        <v>45839</v>
      </c>
      <c r="H235" s="17">
        <f>VLOOKUP($A235,'DB1'!$C:$Q,10,0)</f>
        <v>46022</v>
      </c>
    </row>
    <row r="236" spans="1:8" ht="33">
      <c r="A236" t="str">
        <f>'DB1'!$C233</f>
        <v>WO2025-06</v>
      </c>
      <c r="B236" s="16" t="str" cm="1">
        <f t="array" ref="B236">_xlfn.IFS(LEFT($A236,2)='DB2'!$G$43,'DB2'!$F$43,LEFT($A236,2)='DB2'!$G$44,'DB2'!$F$44,LEFT($A236,2)='DB2'!$H$44,'DB2'!$F$44,LEFT($A236,2)='DB2'!$I$44,'DB2'!$F$44,LEFT($A236,2)='DB2'!$J$44,'DB2'!$F$44,LEFT($A236,2)='DB2'!$G$45,'DB2'!$F$45,LEFT($A236,2)='DB2'!$G$46,'DB2'!$F$46,LEFT($A236,2)=LEFT('DB2'!$G$47,2),'DB2'!$F$47)</f>
        <v>Policy Issue Study</v>
      </c>
      <c r="C236" s="16" t="str">
        <f>VLOOKUP($A236,'DB1'!$C:$Q,12,0)</f>
        <v>Enhancing Community Acceptance of Offshore Wind Power through Public-Private Committee Operations</v>
      </c>
      <c r="D236" s="12" t="str">
        <f>VLOOKUP($A236,'DB1'!$C:$Q,13,0)</f>
        <v>Kim, Dokyun</v>
      </c>
      <c r="E236" s="16" t="str">
        <f>VLOOKUP($A236,'DB1'!$C:$Q,14,0)</f>
        <v>Socio-Environmental Interface</v>
      </c>
      <c r="F236" s="16" t="str">
        <f>VLOOKUP($A236,'DB1'!$C:$Q,15,0)</f>
        <v>Climate Environment (GHG Reduction)</v>
      </c>
      <c r="G236" s="17">
        <f>VLOOKUP($A236,'DB1'!$C:$Q,9,0)</f>
        <v>45839</v>
      </c>
      <c r="H236" s="17">
        <f>VLOOKUP($A236,'DB1'!$C:$Q,10,0)</f>
        <v>46022</v>
      </c>
    </row>
    <row r="237" spans="1:8" ht="33">
      <c r="A237" t="str">
        <f>'DB1'!$C234</f>
        <v>2025-001</v>
      </c>
      <c r="B237" s="16" t="str" cm="1">
        <f t="array" ref="B237">_xlfn.IFS(LEFT($A237,2)='DB2'!$G$43,'DB2'!$F$43,LEFT($A237,2)='DB2'!$G$44,'DB2'!$F$44,LEFT($A237,2)='DB2'!$H$44,'DB2'!$F$44,LEFT($A237,2)='DB2'!$I$44,'DB2'!$F$44,LEFT($A237,2)='DB2'!$J$44,'DB2'!$F$44,LEFT($A237,2)='DB2'!$G$45,'DB2'!$F$45,LEFT($A237,2)='DB2'!$G$46,'DB2'!$F$46,LEFT($A237,2)=LEFT('DB2'!$G$47,2),'DB2'!$F$47)</f>
        <v xml:space="preserve">Commissioned Research </v>
      </c>
      <c r="C237" s="16"/>
      <c r="D237" s="12" t="str">
        <f>VLOOKUP($A237,'DB1'!$C:$Q,13,0)</f>
        <v>Jung, Huicheul</v>
      </c>
      <c r="E237" s="16"/>
      <c r="F237" s="16"/>
      <c r="G237" s="17">
        <f>VLOOKUP($A237,'DB1'!$C:$Q,9,0)</f>
        <v>45658</v>
      </c>
      <c r="H237" s="17">
        <f>VLOOKUP($A237,'DB1'!$C:$Q,10,0)</f>
        <v>46022</v>
      </c>
    </row>
    <row r="238" spans="1:8" ht="33">
      <c r="A238" t="str">
        <f>'DB1'!$C235</f>
        <v>2025-009(R)</v>
      </c>
      <c r="B238" s="16" t="str" cm="1">
        <f t="array" ref="B238">_xlfn.IFS(LEFT($A238,2)='DB2'!$G$43,'DB2'!$F$43,LEFT($A238,2)='DB2'!$G$44,'DB2'!$F$44,LEFT($A238,2)='DB2'!$H$44,'DB2'!$F$44,LEFT($A238,2)='DB2'!$I$44,'DB2'!$F$44,LEFT($A238,2)='DB2'!$J$44,'DB2'!$F$44,LEFT($A238,2)='DB2'!$G$45,'DB2'!$F$45,LEFT($A238,2)='DB2'!$G$46,'DB2'!$F$46,LEFT($A238,2)=LEFT('DB2'!$G$47,2),'DB2'!$F$47)</f>
        <v xml:space="preserve">Commissioned Research </v>
      </c>
      <c r="C238" s="16">
        <f>VLOOKUP($A238,'DB1'!$C:$Q,12,0)</f>
        <v>0</v>
      </c>
      <c r="D238" s="12" t="str">
        <f>VLOOKUP($A238,'DB1'!$C:$Q,13,0)</f>
        <v>Song, Youngil</v>
      </c>
      <c r="E238" s="16">
        <f>VLOOKUP($A238,'DB1'!$C:$Q,14,0)</f>
        <v>0</v>
      </c>
      <c r="F238" s="16">
        <f>VLOOKUP($A238,'DB1'!$C:$Q,15,0)</f>
        <v>0</v>
      </c>
      <c r="G238" s="17">
        <f>VLOOKUP($A238,'DB1'!$C:$Q,9,0)</f>
        <v>45658</v>
      </c>
      <c r="H238" s="17">
        <f>VLOOKUP($A238,'DB1'!$C:$Q,10,0)</f>
        <v>46022</v>
      </c>
    </row>
    <row r="239" spans="1:8" ht="33">
      <c r="A239" t="str">
        <f>'DB1'!$C236</f>
        <v>2025-101(R)</v>
      </c>
      <c r="B239" s="16" t="str" cm="1">
        <f t="array" ref="B239">_xlfn.IFS(LEFT($A239,2)='DB2'!$G$43,'DB2'!$F$43,LEFT($A239,2)='DB2'!$G$44,'DB2'!$F$44,LEFT($A239,2)='DB2'!$H$44,'DB2'!$F$44,LEFT($A239,2)='DB2'!$I$44,'DB2'!$F$44,LEFT($A239,2)='DB2'!$J$44,'DB2'!$F$44,LEFT($A239,2)='DB2'!$G$45,'DB2'!$F$45,LEFT($A239,2)='DB2'!$G$46,'DB2'!$F$46,LEFT($A239,2)=LEFT('DB2'!$G$47,2),'DB2'!$F$47)</f>
        <v xml:space="preserve">Commissioned Research </v>
      </c>
      <c r="C239" s="16">
        <f>VLOOKUP($A239,'DB1'!$C:$Q,12,0)</f>
        <v>0</v>
      </c>
      <c r="D239" s="12" t="str">
        <f>VLOOKUP($A239,'DB1'!$C:$Q,13,0)</f>
        <v xml:space="preserve">Lee, Seungsoo </v>
      </c>
      <c r="E239" s="16">
        <f>VLOOKUP($A239,'DB1'!$C:$Q,14,0)</f>
        <v>0</v>
      </c>
      <c r="F239" s="16">
        <f>VLOOKUP($A239,'DB1'!$C:$Q,15,0)</f>
        <v>0</v>
      </c>
      <c r="G239" s="17">
        <f>VLOOKUP($A239,'DB1'!$C:$Q,9,0)</f>
        <v>45748</v>
      </c>
      <c r="H239" s="17">
        <f>VLOOKUP($A239,'DB1'!$C:$Q,10,0)</f>
        <v>46022</v>
      </c>
    </row>
    <row r="240" spans="1:8" ht="33">
      <c r="A240" t="str">
        <f>'DB1'!$C237</f>
        <v>2025-104</v>
      </c>
      <c r="B240" s="16" t="str" cm="1">
        <f t="array" ref="B240">_xlfn.IFS(LEFT($A240,2)='DB2'!$G$43,'DB2'!$F$43,LEFT($A240,2)='DB2'!$G$44,'DB2'!$F$44,LEFT($A240,2)='DB2'!$H$44,'DB2'!$F$44,LEFT($A240,2)='DB2'!$I$44,'DB2'!$F$44,LEFT($A240,2)='DB2'!$J$44,'DB2'!$F$44,LEFT($A240,2)='DB2'!$G$45,'DB2'!$F$45,LEFT($A240,2)='DB2'!$G$46,'DB2'!$F$46,LEFT($A240,2)=LEFT('DB2'!$G$47,2),'DB2'!$F$47)</f>
        <v xml:space="preserve">Commissioned Research </v>
      </c>
      <c r="C240" s="16" t="str">
        <f>VLOOKUP($A240,'DB1'!$C:$Q,12,0)</f>
        <v>Enhancing Environmental Assessment for Development-Restricted Areas</v>
      </c>
      <c r="D240" s="12" t="str">
        <f>VLOOKUP($A240,'DB1'!$C:$Q,13,0)</f>
        <v>Yoon, Jeongho</v>
      </c>
      <c r="E240" s="16" t="str">
        <f>VLOOKUP($A240,'DB1'!$C:$Q,14,0)</f>
        <v>Land Management and Environment</v>
      </c>
      <c r="F240" s="16" t="str">
        <f>VLOOKUP($A240,'DB1'!$C:$Q,15,0)</f>
        <v>Environmental Assessment</v>
      </c>
      <c r="G240" s="17">
        <f>VLOOKUP($A240,'DB1'!$C:$Q,9,0)</f>
        <v>45876</v>
      </c>
      <c r="H240" s="17">
        <f>VLOOKUP($A240,'DB1'!$C:$Q,10,0)</f>
        <v>46176</v>
      </c>
    </row>
    <row r="241" spans="1:8" ht="33">
      <c r="A241" t="str">
        <f>'DB1'!$C238</f>
        <v>2025-105(R)</v>
      </c>
      <c r="B241" s="16" t="str" cm="1">
        <f t="array" ref="B241">_xlfn.IFS(LEFT($A241,2)='DB2'!$G$43,'DB2'!$F$43,LEFT($A241,2)='DB2'!$G$44,'DB2'!$F$44,LEFT($A241,2)='DB2'!$H$44,'DB2'!$F$44,LEFT($A241,2)='DB2'!$I$44,'DB2'!$F$44,LEFT($A241,2)='DB2'!$J$44,'DB2'!$F$44,LEFT($A241,2)='DB2'!$G$45,'DB2'!$F$45,LEFT($A241,2)='DB2'!$G$46,'DB2'!$F$46,LEFT($A241,2)=LEFT('DB2'!$G$47,2),'DB2'!$F$47)</f>
        <v xml:space="preserve">Commissioned Research </v>
      </c>
      <c r="C241" s="16" t="str">
        <f>VLOOKUP($A241,'DB1'!$C:$Q,12,0)</f>
        <v>Practical Technology Development for Near-Real-Time Biodiversity Monitoring Using AI-Driven Acoustic and Spatial Data Integration</v>
      </c>
      <c r="D241" s="12" t="str">
        <f>VLOOKUP($A241,'DB1'!$C:$Q,13,0)</f>
        <v>Choi, Yuyoung</v>
      </c>
      <c r="E241" s="16" t="str">
        <f>VLOOKUP($A241,'DB1'!$C:$Q,14,0)</f>
        <v>Ecology</v>
      </c>
      <c r="F241" s="16" t="str">
        <f>VLOOKUP($A241,'DB1'!$C:$Q,15,0)</f>
        <v>Environmental Informatics</v>
      </c>
      <c r="G241" s="17">
        <f>VLOOKUP($A241,'DB1'!$C:$Q,9,0)</f>
        <v>45931</v>
      </c>
      <c r="H241" s="17">
        <f>VLOOKUP($A241,'DB1'!$C:$Q,10,0)</f>
        <v>46022</v>
      </c>
    </row>
    <row r="242" spans="1:8" ht="33">
      <c r="A242" t="str">
        <f>'DB1'!$C239</f>
        <v>2025-106</v>
      </c>
      <c r="B242" s="16" t="str" cm="1">
        <f t="array" ref="B242">_xlfn.IFS(LEFT($A242,2)='DB2'!$G$43,'DB2'!$F$43,LEFT($A242,2)='DB2'!$G$44,'DB2'!$F$44,LEFT($A242,2)='DB2'!$H$44,'DB2'!$F$44,LEFT($A242,2)='DB2'!$I$44,'DB2'!$F$44,LEFT($A242,2)='DB2'!$J$44,'DB2'!$F$44,LEFT($A242,2)='DB2'!$G$45,'DB2'!$F$45,LEFT($A242,2)='DB2'!$G$46,'DB2'!$F$46,LEFT($A242,2)=LEFT('DB2'!$G$47,2),'DB2'!$F$47)</f>
        <v xml:space="preserve">Commissioned Research </v>
      </c>
      <c r="C242" s="16" t="str">
        <f>VLOOKUP($A242,'DB1'!$C:$Q,12,0)</f>
        <v>Pre-Feasibility Assessment and Conceptual Planning for the National Biodiversity Convergence Center</v>
      </c>
      <c r="D242" s="12" t="str">
        <f>VLOOKUP($A242,'DB1'!$C:$Q,13,0)</f>
        <v>Lee, Who-Seung</v>
      </c>
      <c r="E242" s="16" t="str">
        <f>VLOOKUP($A242,'DB1'!$C:$Q,14,0)</f>
        <v>Ecology</v>
      </c>
      <c r="F242" s="16" t="str">
        <f>VLOOKUP($A242,'DB1'!$C:$Q,15,0)</f>
        <v>Environmental Informatics</v>
      </c>
      <c r="G242" s="17">
        <f>VLOOKUP($A242,'DB1'!$C:$Q,9,0)</f>
        <v>45890</v>
      </c>
      <c r="H242" s="17">
        <f>VLOOKUP($A242,'DB1'!$C:$Q,10,0)</f>
        <v>46099</v>
      </c>
    </row>
    <row r="243" spans="1:8" ht="33">
      <c r="A243" t="str">
        <f>'DB1'!$C240</f>
        <v>2025-107</v>
      </c>
      <c r="B243" s="16" t="str" cm="1">
        <f t="array" ref="B243">_xlfn.IFS(LEFT($A243,2)='DB2'!$G$43,'DB2'!$F$43,LEFT($A243,2)='DB2'!$G$44,'DB2'!$F$44,LEFT($A243,2)='DB2'!$H$44,'DB2'!$F$44,LEFT($A243,2)='DB2'!$I$44,'DB2'!$F$44,LEFT($A243,2)='DB2'!$J$44,'DB2'!$F$44,LEFT($A243,2)='DB2'!$G$45,'DB2'!$F$45,LEFT($A243,2)='DB2'!$G$46,'DB2'!$F$46,LEFT($A243,2)=LEFT('DB2'!$G$47,2),'DB2'!$F$47)</f>
        <v xml:space="preserve">Commissioned Research </v>
      </c>
      <c r="C243" s="16" t="str">
        <f>VLOOKUP($A243,'DB1'!$C:$Q,12,0)</f>
        <v>Development of Measures to Enhance the Climate Change Impact Assessment Framework</v>
      </c>
      <c r="D243" s="12" t="str">
        <f>VLOOKUP($A243,'DB1'!$C:$Q,13,0)</f>
        <v>Kim, Yumi</v>
      </c>
      <c r="E243" s="16" t="str">
        <f>VLOOKUP($A243,'DB1'!$C:$Q,14,0)</f>
        <v>Environmental Assessment</v>
      </c>
      <c r="F243" s="16" t="str">
        <f>VLOOKUP($A243,'DB1'!$C:$Q,15,0)</f>
        <v>Climate Adaptation</v>
      </c>
      <c r="G243" s="17">
        <f>VLOOKUP($A243,'DB1'!$C:$Q,9,0)</f>
        <v>45898</v>
      </c>
      <c r="H243" s="17">
        <f>VLOOKUP($A243,'DB1'!$C:$Q,10,0)</f>
        <v>46262</v>
      </c>
    </row>
    <row r="244" spans="1:8" ht="33">
      <c r="A244" t="str">
        <f>'DB1'!$C241</f>
        <v>2025-108</v>
      </c>
      <c r="B244" s="16" t="str" cm="1">
        <f t="array" ref="B244">_xlfn.IFS(LEFT($A244,2)='DB2'!$G$43,'DB2'!$F$43,LEFT($A244,2)='DB2'!$G$44,'DB2'!$F$44,LEFT($A244,2)='DB2'!$H$44,'DB2'!$F$44,LEFT($A244,2)='DB2'!$I$44,'DB2'!$F$44,LEFT($A244,2)='DB2'!$J$44,'DB2'!$F$44,LEFT($A244,2)='DB2'!$G$45,'DB2'!$F$45,LEFT($A244,2)='DB2'!$G$46,'DB2'!$F$46,LEFT($A244,2)=LEFT('DB2'!$G$47,2),'DB2'!$F$47)</f>
        <v xml:space="preserve">Commissioned Research </v>
      </c>
      <c r="C244" s="16" t="str">
        <f>VLOOKUP($A244,'DB1'!$C:$Q,12,0)</f>
        <v>Korea’s Practice of Addressing Air Pollution and GHG Emissions from Small- and Medium-scale Industries</v>
      </c>
      <c r="D244" s="12" t="str">
        <f>VLOOKUP($A244,'DB1'!$C:$Q,13,0)</f>
        <v>Chang, Hoon</v>
      </c>
      <c r="E244" s="16" t="str">
        <f>VLOOKUP($A244,'DB1'!$C:$Q,14,0)</f>
        <v>Atmospheric Environment</v>
      </c>
      <c r="F244" s="16" t="str">
        <f>VLOOKUP($A244,'DB1'!$C:$Q,15,0)</f>
        <v>Climate Environment (GHG Reduction)</v>
      </c>
      <c r="G244" s="17">
        <f>VLOOKUP($A244,'DB1'!$C:$Q,9,0)</f>
        <v>45901</v>
      </c>
      <c r="H244" s="17">
        <f>VLOOKUP($A244,'DB1'!$C:$Q,10,0)</f>
        <v>46476</v>
      </c>
    </row>
    <row r="245" spans="1:8" ht="33">
      <c r="A245" t="str">
        <f>'DB1'!$C242</f>
        <v>2025-109</v>
      </c>
      <c r="B245" s="16" t="str" cm="1">
        <f t="array" ref="B245">_xlfn.IFS(LEFT($A245,2)='DB2'!$G$43,'DB2'!$F$43,LEFT($A245,2)='DB2'!$G$44,'DB2'!$F$44,LEFT($A245,2)='DB2'!$H$44,'DB2'!$F$44,LEFT($A245,2)='DB2'!$I$44,'DB2'!$F$44,LEFT($A245,2)='DB2'!$J$44,'DB2'!$F$44,LEFT($A245,2)='DB2'!$G$45,'DB2'!$F$45,LEFT($A245,2)='DB2'!$G$46,'DB2'!$F$46,LEFT($A245,2)=LEFT('DB2'!$G$47,2),'DB2'!$F$47)</f>
        <v xml:space="preserve">Commissioned Research </v>
      </c>
      <c r="C245" s="16" t="str">
        <f>VLOOKUP($A245,'DB1'!$C:$Q,12,0)</f>
        <v>Development of a Response Framework for the Carbon Border Adjustment Mechanism</v>
      </c>
      <c r="D245" s="12" t="str">
        <f>VLOOKUP($A245,'DB1'!$C:$Q,13,0)</f>
        <v>Kim, Sungjin</v>
      </c>
      <c r="E245" s="16" t="str">
        <f>VLOOKUP($A245,'DB1'!$C:$Q,14,0)</f>
        <v>Climate Environment (GHG Reduction)</v>
      </c>
      <c r="F245" s="16" t="str">
        <f>VLOOKUP($A245,'DB1'!$C:$Q,15,0)</f>
        <v>Environmental Economics</v>
      </c>
      <c r="G245" s="17">
        <f>VLOOKUP($A245,'DB1'!$C:$Q,9,0)</f>
        <v>45924</v>
      </c>
      <c r="H245" s="17">
        <f>VLOOKUP($A245,'DB1'!$C:$Q,10,0)</f>
        <v>46288</v>
      </c>
    </row>
    <row r="246" spans="1:8" ht="33">
      <c r="A246" t="str">
        <f>'DB1'!$C243</f>
        <v>2025-110</v>
      </c>
      <c r="B246" s="16" t="str" cm="1">
        <f t="array" ref="B246">_xlfn.IFS(LEFT($A246,2)='DB2'!$G$43,'DB2'!$F$43,LEFT($A246,2)='DB2'!$G$44,'DB2'!$F$44,LEFT($A246,2)='DB2'!$H$44,'DB2'!$F$44,LEFT($A246,2)='DB2'!$I$44,'DB2'!$F$44,LEFT($A246,2)='DB2'!$J$44,'DB2'!$F$44,LEFT($A246,2)='DB2'!$G$45,'DB2'!$F$45,LEFT($A246,2)='DB2'!$G$46,'DB2'!$F$46,LEFT($A246,2)=LEFT('DB2'!$G$47,2),'DB2'!$F$47)</f>
        <v xml:space="preserve">Commissioned Research </v>
      </c>
      <c r="C246" s="16" t="str">
        <f>VLOOKUP($A246,'DB1'!$C:$Q,12,0)</f>
        <v>Enhancement of the Electric Vehicle Subsidy System and Development of Support Measures Tailored for Each Vehicle Type</v>
      </c>
      <c r="D246" s="12" t="str">
        <f>VLOOKUP($A246,'DB1'!$C:$Q,13,0)</f>
        <v>Lee, Jeongeun</v>
      </c>
      <c r="E246" s="16" t="str">
        <f>VLOOKUP($A246,'DB1'!$C:$Q,14,0)</f>
        <v>Climate Environment (GHG Reduction)</v>
      </c>
      <c r="F246" s="16" t="str">
        <f>VLOOKUP($A246,'DB1'!$C:$Q,15,0)</f>
        <v>Environmental Economics</v>
      </c>
      <c r="G246" s="17">
        <f>VLOOKUP($A246,'DB1'!$C:$Q,9,0)</f>
        <v>45924</v>
      </c>
      <c r="H246" s="17">
        <f>VLOOKUP($A246,'DB1'!$C:$Q,10,0)</f>
        <v>46133</v>
      </c>
    </row>
    <row r="247" spans="1:8" ht="33">
      <c r="A247" t="str">
        <f>'DB1'!$C244</f>
        <v>2025-111</v>
      </c>
      <c r="B247" s="16" t="str" cm="1">
        <f t="array" ref="B247">_xlfn.IFS(LEFT($A247,2)='DB2'!$G$43,'DB2'!$F$43,LEFT($A247,2)='DB2'!$G$44,'DB2'!$F$44,LEFT($A247,2)='DB2'!$H$44,'DB2'!$F$44,LEFT($A247,2)='DB2'!$I$44,'DB2'!$F$44,LEFT($A247,2)='DB2'!$J$44,'DB2'!$F$44,LEFT($A247,2)='DB2'!$G$45,'DB2'!$F$45,LEFT($A247,2)='DB2'!$G$46,'DB2'!$F$46,LEFT($A247,2)=LEFT('DB2'!$G$47,2),'DB2'!$F$47)</f>
        <v xml:space="preserve">Commissioned Research </v>
      </c>
      <c r="C247" s="16" t="str">
        <f>VLOOKUP($A247,'DB1'!$C:$Q,12,0)</f>
        <v>Development of Biodiversity Subsidy Management Measures in Response to the Global Biodiversity Framework</v>
      </c>
      <c r="D247" s="12" t="str">
        <f>VLOOKUP($A247,'DB1'!$C:$Q,13,0)</f>
        <v xml:space="preserve">Koo, Kyung Ah </v>
      </c>
      <c r="E247" s="16" t="str">
        <f>VLOOKUP($A247,'DB1'!$C:$Q,14,0)</f>
        <v>Ecology</v>
      </c>
      <c r="F247" s="16" t="str">
        <f>VLOOKUP($A247,'DB1'!$C:$Q,15,0)</f>
        <v>Environmental Economics</v>
      </c>
      <c r="G247" s="17">
        <f>VLOOKUP($A247,'DB1'!$C:$Q,9,0)</f>
        <v>45925</v>
      </c>
      <c r="H247" s="17">
        <f>VLOOKUP($A247,'DB1'!$C:$Q,10,0)</f>
        <v>46289</v>
      </c>
    </row>
    <row r="248" spans="1:8" ht="49.5">
      <c r="A248" t="str">
        <f>'DB1'!$C245</f>
        <v>2025-112</v>
      </c>
      <c r="B248" s="16" t="str" cm="1">
        <f t="array" ref="B248">_xlfn.IFS(LEFT($A248,2)='DB2'!$G$43,'DB2'!$F$43,LEFT($A248,2)='DB2'!$G$44,'DB2'!$F$44,LEFT($A248,2)='DB2'!$H$44,'DB2'!$F$44,LEFT($A248,2)='DB2'!$I$44,'DB2'!$F$44,LEFT($A248,2)='DB2'!$J$44,'DB2'!$F$44,LEFT($A248,2)='DB2'!$G$45,'DB2'!$F$45,LEFT($A248,2)='DB2'!$G$46,'DB2'!$F$46,LEFT($A248,2)=LEFT('DB2'!$G$47,2),'DB2'!$F$47)</f>
        <v xml:space="preserve">Commissioned Research </v>
      </c>
      <c r="C248" s="16" t="str">
        <f>VLOOKUP($A248,'DB1'!$C:$Q,12,0)</f>
        <v>Analysis of Implementation Trends and Development of Response Measures for the CBD Kunming-Montreal Global Biodiversity Framework (III)</v>
      </c>
      <c r="D248" s="12" t="str">
        <f>VLOOKUP($A248,'DB1'!$C:$Q,13,0)</f>
        <v>Lee, Who-Seung</v>
      </c>
      <c r="E248" s="16" t="str">
        <f>VLOOKUP($A248,'DB1'!$C:$Q,14,0)</f>
        <v>Ecology</v>
      </c>
      <c r="F248" s="16" t="str">
        <f>VLOOKUP($A248,'DB1'!$C:$Q,15,0)</f>
        <v>International &amp; Regional Collaboration</v>
      </c>
      <c r="G248" s="17">
        <f>VLOOKUP($A248,'DB1'!$C:$Q,9,0)</f>
        <v>45925</v>
      </c>
      <c r="H248" s="17">
        <f>VLOOKUP($A248,'DB1'!$C:$Q,10,0)</f>
        <v>46104</v>
      </c>
    </row>
    <row r="249" spans="1:8" ht="33">
      <c r="A249" t="str">
        <f>'DB1'!$C246</f>
        <v>2025-113</v>
      </c>
      <c r="B249" s="16" t="str" cm="1">
        <f t="array" ref="B249">_xlfn.IFS(LEFT($A249,2)='DB2'!$G$43,'DB2'!$F$43,LEFT($A249,2)='DB2'!$G$44,'DB2'!$F$44,LEFT($A249,2)='DB2'!$H$44,'DB2'!$F$44,LEFT($A249,2)='DB2'!$I$44,'DB2'!$F$44,LEFT($A249,2)='DB2'!$J$44,'DB2'!$F$44,LEFT($A249,2)='DB2'!$G$45,'DB2'!$F$45,LEFT($A249,2)='DB2'!$G$46,'DB2'!$F$46,LEFT($A249,2)=LEFT('DB2'!$G$47,2),'DB2'!$F$47)</f>
        <v xml:space="preserve">Commissioned Research </v>
      </c>
      <c r="C249" s="16" t="str">
        <f>VLOOKUP($A249,'DB1'!$C:$Q,12,0)</f>
        <v>Development of Measures to Improve the Agency Contract System and Operations for Enhancing the Reliability of the Environmental Impact Assessment System</v>
      </c>
      <c r="D249" s="12" t="str">
        <f>VLOOKUP($A249,'DB1'!$C:$Q,13,0)</f>
        <v>Yi, Youngjae</v>
      </c>
      <c r="E249" s="16" t="str">
        <f>VLOOKUP($A249,'DB1'!$C:$Q,14,0)</f>
        <v>Environmental Assessment</v>
      </c>
      <c r="F249" s="16" t="str">
        <f>VLOOKUP($A249,'DB1'!$C:$Q,15,0)</f>
        <v>Environmental Economics</v>
      </c>
      <c r="G249" s="17">
        <f>VLOOKUP($A249,'DB1'!$C:$Q,9,0)</f>
        <v>45943</v>
      </c>
      <c r="H249" s="17">
        <f>VLOOKUP($A249,'DB1'!$C:$Q,10,0)</f>
        <v>46182</v>
      </c>
    </row>
    <row r="250" spans="1:8" ht="33">
      <c r="A250" t="str">
        <f>'DB1'!$C247</f>
        <v>2025-114</v>
      </c>
      <c r="B250" s="16" t="str" cm="1">
        <f t="array" ref="B250">_xlfn.IFS(LEFT($A250,2)='DB2'!$G$43,'DB2'!$F$43,LEFT($A250,2)='DB2'!$G$44,'DB2'!$F$44,LEFT($A250,2)='DB2'!$H$44,'DB2'!$F$44,LEFT($A250,2)='DB2'!$I$44,'DB2'!$F$44,LEFT($A250,2)='DB2'!$J$44,'DB2'!$F$44,LEFT($A250,2)='DB2'!$G$45,'DB2'!$F$45,LEFT($A250,2)='DB2'!$G$46,'DB2'!$F$46,LEFT($A250,2)=LEFT('DB2'!$G$47,2),'DB2'!$F$47)</f>
        <v xml:space="preserve">Commissioned Research </v>
      </c>
      <c r="C250" s="16" t="str">
        <f>VLOOKUP($A250,'DB1'!$C:$Q,12,0)</f>
        <v>Development of a Support Framework to Enhance the Competitiveness of Carbon-Neutral Emerging Industries</v>
      </c>
      <c r="D250" s="12" t="str">
        <f>VLOOKUP($A250,'DB1'!$C:$Q,13,0)</f>
        <v>Shin, Dong Won</v>
      </c>
      <c r="E250" s="16" t="str">
        <f>VLOOKUP($A250,'DB1'!$C:$Q,14,0)</f>
        <v>Climate Environment (GHG Reduction)</v>
      </c>
      <c r="F250" s="16" t="str">
        <f>VLOOKUP($A250,'DB1'!$C:$Q,15,0)</f>
        <v>Environmental Economics</v>
      </c>
      <c r="G250" s="17">
        <f>VLOOKUP($A250,'DB1'!$C:$Q,9,0)</f>
        <v>45932</v>
      </c>
      <c r="H250" s="17">
        <f>VLOOKUP($A250,'DB1'!$C:$Q,10,0)</f>
        <v>46055</v>
      </c>
    </row>
    <row r="251" spans="1:8" ht="33">
      <c r="A251" t="str">
        <f>'DB1'!$C248</f>
        <v>2025-115</v>
      </c>
      <c r="B251" s="16" t="str" cm="1">
        <f t="array" ref="B251">_xlfn.IFS(LEFT($A251,2)='DB2'!$G$43,'DB2'!$F$43,LEFT($A251,2)='DB2'!$G$44,'DB2'!$F$44,LEFT($A251,2)='DB2'!$H$44,'DB2'!$F$44,LEFT($A251,2)='DB2'!$I$44,'DB2'!$F$44,LEFT($A251,2)='DB2'!$J$44,'DB2'!$F$44,LEFT($A251,2)='DB2'!$G$45,'DB2'!$F$45,LEFT($A251,2)='DB2'!$G$46,'DB2'!$F$46,LEFT($A251,2)=LEFT('DB2'!$G$47,2),'DB2'!$F$47)</f>
        <v xml:space="preserve">Commissioned Research </v>
      </c>
      <c r="C251" s="16" t="str">
        <f>VLOOKUP($A251,'DB1'!$C:$Q,12,0)</f>
        <v>Development of a Fund to Foster the Growth of the Advanced Water Industry</v>
      </c>
      <c r="D251" s="12" t="str">
        <f>VLOOKUP($A251,'DB1'!$C:$Q,13,0)</f>
        <v xml:space="preserve">Oh, Myoungjin </v>
      </c>
      <c r="E251" s="16" t="str">
        <f>VLOOKUP($A251,'DB1'!$C:$Q,14,0)</f>
        <v>Water Management</v>
      </c>
      <c r="F251" s="16" t="str">
        <f>VLOOKUP($A251,'DB1'!$C:$Q,15,0)</f>
        <v>Environmental Economics</v>
      </c>
      <c r="G251" s="17">
        <f>VLOOKUP($A251,'DB1'!$C:$Q,9,0)</f>
        <v>45958</v>
      </c>
      <c r="H251" s="17">
        <f>VLOOKUP($A251,'DB1'!$C:$Q,10,0)</f>
        <v>46197</v>
      </c>
    </row>
    <row r="252" spans="1:8" ht="33">
      <c r="A252" t="str">
        <f>'DB1'!$C249</f>
        <v>2025-116</v>
      </c>
      <c r="B252" s="16" t="str" cm="1">
        <f t="array" ref="B252">_xlfn.IFS(LEFT($A252,2)='DB2'!$G$43,'DB2'!$F$43,LEFT($A252,2)='DB2'!$G$44,'DB2'!$F$44,LEFT($A252,2)='DB2'!$H$44,'DB2'!$F$44,LEFT($A252,2)='DB2'!$I$44,'DB2'!$F$44,LEFT($A252,2)='DB2'!$J$44,'DB2'!$F$44,LEFT($A252,2)='DB2'!$G$45,'DB2'!$F$45,LEFT($A252,2)='DB2'!$G$46,'DB2'!$F$46,LEFT($A252,2)=LEFT('DB2'!$G$47,2),'DB2'!$F$47)</f>
        <v xml:space="preserve">Commissioned Research </v>
      </c>
      <c r="C252" s="16" t="str">
        <f>VLOOKUP($A252,'DB1'!$C:$Q,12,0)</f>
        <v>Feasibility Review and Preparation of Draft Amendments for the First Master Plan for National Water Management (II)</v>
      </c>
      <c r="D252" s="12" t="str">
        <f>VLOOKUP($A252,'DB1'!$C:$Q,13,0)</f>
        <v>Han, Haejin</v>
      </c>
      <c r="E252" s="16" t="str">
        <f>VLOOKUP($A252,'DB1'!$C:$Q,14,0)</f>
        <v>Water Management</v>
      </c>
      <c r="F252" s="16">
        <f>VLOOKUP($A252,'DB1'!$C:$Q,15,0)</f>
        <v>0</v>
      </c>
      <c r="G252" s="17">
        <f>VLOOKUP($A252,'DB1'!$C:$Q,9,0)</f>
        <v>45948</v>
      </c>
      <c r="H252" s="17">
        <f>VLOOKUP($A252,'DB1'!$C:$Q,10,0)</f>
        <v>46312</v>
      </c>
    </row>
    <row r="253" spans="1:8" ht="33">
      <c r="A253" t="str">
        <f>'DB1'!$C250</f>
        <v>2025-117</v>
      </c>
      <c r="B253" s="16" t="str" cm="1">
        <f t="array" ref="B253">_xlfn.IFS(LEFT($A253,2)='DB2'!$G$43,'DB2'!$F$43,LEFT($A253,2)='DB2'!$G$44,'DB2'!$F$44,LEFT($A253,2)='DB2'!$H$44,'DB2'!$F$44,LEFT($A253,2)='DB2'!$I$44,'DB2'!$F$44,LEFT($A253,2)='DB2'!$J$44,'DB2'!$F$44,LEFT($A253,2)='DB2'!$G$45,'DB2'!$F$45,LEFT($A253,2)='DB2'!$G$46,'DB2'!$F$46,LEFT($A253,2)=LEFT('DB2'!$G$47,2),'DB2'!$F$47)</f>
        <v xml:space="preserve">Commissioned Research </v>
      </c>
      <c r="C253" s="16" t="str">
        <f>VLOOKUP($A253,'DB1'!$C:$Q,12,0)</f>
        <v>Development of a Follow-Up Management Framework for Integrated Environmental Management Facilities</v>
      </c>
      <c r="D253" s="12" t="str">
        <f>VLOOKUP($A253,'DB1'!$C:$Q,13,0)</f>
        <v>Han, Daeho</v>
      </c>
      <c r="E253" s="16" t="str">
        <f>VLOOKUP($A253,'DB1'!$C:$Q,14,0)</f>
        <v>Environmental Assessment</v>
      </c>
      <c r="F253" s="16" t="str">
        <f>VLOOKUP($A253,'DB1'!$C:$Q,15,0)</f>
        <v>Environmental Informatics</v>
      </c>
      <c r="G253" s="17">
        <f>VLOOKUP($A253,'DB1'!$C:$Q,9,0)</f>
        <v>45973</v>
      </c>
      <c r="H253" s="17">
        <f>VLOOKUP($A253,'DB1'!$C:$Q,10,0)</f>
        <v>46152</v>
      </c>
    </row>
    <row r="254" spans="1:8">
      <c r="A254" t="str">
        <f>'DB1'!$C251</f>
        <v>BA2024-02</v>
      </c>
      <c r="B254" s="16" t="str" cm="1">
        <f t="array" ref="B254">_xlfn.IFS(LEFT($A254,2)='DB2'!$G$43,'DB2'!$F$43,LEFT($A254,2)='DB2'!$G$44,'DB2'!$F$44,LEFT($A254,2)='DB2'!$H$44,'DB2'!$F$44,LEFT($A254,2)='DB2'!$I$44,'DB2'!$F$44,LEFT($A254,2)='DB2'!$J$44,'DB2'!$F$44,LEFT($A254,2)='DB2'!$G$45,'DB2'!$F$45,LEFT($A254,2)='DB2'!$G$46,'DB2'!$F$46,LEFT($A254,2)=LEFT('DB2'!$G$47,2),'DB2'!$F$47)</f>
        <v>Working Paper</v>
      </c>
      <c r="C254" s="16">
        <f>VLOOKUP($A254,'DB1'!$C:$Q,12,0)</f>
        <v>0</v>
      </c>
      <c r="D254" s="12" t="str">
        <f>VLOOKUP($A254,'DB1'!$C:$Q,13,0)</f>
        <v>Hahn, Jinseok</v>
      </c>
      <c r="E254" s="16">
        <f>VLOOKUP($A254,'DB1'!$C:$Q,14,0)</f>
        <v>0</v>
      </c>
      <c r="F254" s="16">
        <f>VLOOKUP($A254,'DB1'!$C:$Q,15,0)</f>
        <v>0</v>
      </c>
      <c r="G254" s="17">
        <f>VLOOKUP($A254,'DB1'!$C:$Q,9,0)</f>
        <v>45537</v>
      </c>
      <c r="H254" s="17">
        <f>VLOOKUP($A254,'DB1'!$C:$Q,10,0)</f>
        <v>45716</v>
      </c>
    </row>
    <row r="255" spans="1:8">
      <c r="A255" t="str">
        <f>'DB1'!$C252</f>
        <v>BA2024-020-07</v>
      </c>
      <c r="B255" s="16" t="str" cm="1">
        <f t="array" ref="B255">_xlfn.IFS(LEFT($A255,2)='DB2'!$G$43,'DB2'!$F$43,LEFT($A255,2)='DB2'!$G$44,'DB2'!$F$44,LEFT($A255,2)='DB2'!$H$44,'DB2'!$F$44,LEFT($A255,2)='DB2'!$I$44,'DB2'!$F$44,LEFT($A255,2)='DB2'!$J$44,'DB2'!$F$44,LEFT($A255,2)='DB2'!$G$45,'DB2'!$F$45,LEFT($A255,2)='DB2'!$G$46,'DB2'!$F$46,LEFT($A255,2)=LEFT('DB2'!$G$47,2),'DB2'!$F$47)</f>
        <v>Working Paper</v>
      </c>
      <c r="C255" s="16">
        <f>VLOOKUP($A255,'DB1'!$C:$Q,12,0)</f>
        <v>0</v>
      </c>
      <c r="D255" s="12" t="str">
        <f>VLOOKUP($A255,'DB1'!$C:$Q,13,0)</f>
        <v>Lim, Hyesook</v>
      </c>
      <c r="E255" s="16">
        <f>VLOOKUP($A255,'DB1'!$C:$Q,14,0)</f>
        <v>0</v>
      </c>
      <c r="F255" s="16">
        <f>VLOOKUP($A255,'DB1'!$C:$Q,15,0)</f>
        <v>0</v>
      </c>
      <c r="G255" s="17">
        <f>VLOOKUP($A255,'DB1'!$C:$Q,9,0)</f>
        <v>45537</v>
      </c>
      <c r="H255" s="17">
        <f>VLOOKUP($A255,'DB1'!$C:$Q,10,0)</f>
        <v>45716</v>
      </c>
    </row>
    <row r="256" spans="1:8">
      <c r="A256" t="str">
        <f>'DB1'!$C253</f>
        <v>BA2024-020-08</v>
      </c>
      <c r="B256" s="16" t="str" cm="1">
        <f t="array" ref="B256">_xlfn.IFS(LEFT($A256,2)='DB2'!$G$43,'DB2'!$F$43,LEFT($A256,2)='DB2'!$G$44,'DB2'!$F$44,LEFT($A256,2)='DB2'!$H$44,'DB2'!$F$44,LEFT($A256,2)='DB2'!$I$44,'DB2'!$F$44,LEFT($A256,2)='DB2'!$J$44,'DB2'!$F$44,LEFT($A256,2)='DB2'!$G$45,'DB2'!$F$45,LEFT($A256,2)='DB2'!$G$46,'DB2'!$F$46,LEFT($A256,2)=LEFT('DB2'!$G$47,2),'DB2'!$F$47)</f>
        <v>Working Paper</v>
      </c>
      <c r="C256" s="16">
        <f>VLOOKUP($A256,'DB1'!$C:$Q,12,0)</f>
        <v>0</v>
      </c>
      <c r="D256" s="12" t="str">
        <f>VLOOKUP($A256,'DB1'!$C:$Q,13,0)</f>
        <v xml:space="preserve">Heo, Namjoo </v>
      </c>
      <c r="E256" s="16">
        <f>VLOOKUP($A256,'DB1'!$C:$Q,14,0)</f>
        <v>0</v>
      </c>
      <c r="F256" s="16">
        <f>VLOOKUP($A256,'DB1'!$C:$Q,15,0)</f>
        <v>0</v>
      </c>
      <c r="G256" s="17">
        <f>VLOOKUP($A256,'DB1'!$C:$Q,9,0)</f>
        <v>45537</v>
      </c>
      <c r="H256" s="17">
        <f>VLOOKUP($A256,'DB1'!$C:$Q,10,0)</f>
        <v>45716</v>
      </c>
    </row>
    <row r="257" spans="1:8">
      <c r="A257" t="str">
        <f>'DB1'!$C254</f>
        <v>BA2024-03</v>
      </c>
      <c r="B257" s="16" t="str" cm="1">
        <f t="array" ref="B257">_xlfn.IFS(LEFT($A257,2)='DB2'!$G$43,'DB2'!$F$43,LEFT($A257,2)='DB2'!$G$44,'DB2'!$F$44,LEFT($A257,2)='DB2'!$H$44,'DB2'!$F$44,LEFT($A257,2)='DB2'!$I$44,'DB2'!$F$44,LEFT($A257,2)='DB2'!$J$44,'DB2'!$F$44,LEFT($A257,2)='DB2'!$G$45,'DB2'!$F$45,LEFT($A257,2)='DB2'!$G$46,'DB2'!$F$46,LEFT($A257,2)=LEFT('DB2'!$G$47,2),'DB2'!$F$47)</f>
        <v>Working Paper</v>
      </c>
      <c r="C257" s="16">
        <f>VLOOKUP($A257,'DB1'!$C:$Q,12,0)</f>
        <v>0</v>
      </c>
      <c r="D257" s="12" t="str">
        <f>VLOOKUP($A257,'DB1'!$C:$Q,13,0)</f>
        <v>Hahn, Jinseok</v>
      </c>
      <c r="E257" s="16">
        <f>VLOOKUP($A257,'DB1'!$C:$Q,14,0)</f>
        <v>0</v>
      </c>
      <c r="F257" s="16">
        <f>VLOOKUP($A257,'DB1'!$C:$Q,15,0)</f>
        <v>0</v>
      </c>
      <c r="G257" s="17">
        <f>VLOOKUP($A257,'DB1'!$C:$Q,9,0)</f>
        <v>45628</v>
      </c>
      <c r="H257" s="17">
        <f>VLOOKUP($A257,'DB1'!$C:$Q,10,0)</f>
        <v>45808</v>
      </c>
    </row>
    <row r="258" spans="1:8">
      <c r="A258" t="str">
        <f>'DB1'!$C255</f>
        <v>BA2024-030-09</v>
      </c>
      <c r="B258" s="16" t="str" cm="1">
        <f t="array" ref="B258">_xlfn.IFS(LEFT($A258,2)='DB2'!$G$43,'DB2'!$F$43,LEFT($A258,2)='DB2'!$G$44,'DB2'!$F$44,LEFT($A258,2)='DB2'!$H$44,'DB2'!$F$44,LEFT($A258,2)='DB2'!$I$44,'DB2'!$F$44,LEFT($A258,2)='DB2'!$J$44,'DB2'!$F$44,LEFT($A258,2)='DB2'!$G$45,'DB2'!$F$45,LEFT($A258,2)='DB2'!$G$46,'DB2'!$F$46,LEFT($A258,2)=LEFT('DB2'!$G$47,2),'DB2'!$F$47)</f>
        <v>Working Paper</v>
      </c>
      <c r="C258" s="16">
        <f>VLOOKUP($A258,'DB1'!$C:$Q,12,0)</f>
        <v>0</v>
      </c>
      <c r="D258" s="12" t="str">
        <f>VLOOKUP($A258,'DB1'!$C:$Q,13,0)</f>
        <v>Hong, Hyunjung</v>
      </c>
      <c r="E258" s="16">
        <f>VLOOKUP($A258,'DB1'!$C:$Q,14,0)</f>
        <v>0</v>
      </c>
      <c r="F258" s="16">
        <f>VLOOKUP($A258,'DB1'!$C:$Q,15,0)</f>
        <v>0</v>
      </c>
      <c r="G258" s="17">
        <f>VLOOKUP($A258,'DB1'!$C:$Q,9,0)</f>
        <v>45628</v>
      </c>
      <c r="H258" s="17">
        <f>VLOOKUP($A258,'DB1'!$C:$Q,10,0)</f>
        <v>45747</v>
      </c>
    </row>
    <row r="259" spans="1:8">
      <c r="A259" t="str">
        <f>'DB1'!$C256</f>
        <v>BA2024-030-10</v>
      </c>
      <c r="B259" s="16" t="str" cm="1">
        <f t="array" ref="B259">_xlfn.IFS(LEFT($A259,2)='DB2'!$G$43,'DB2'!$F$43,LEFT($A259,2)='DB2'!$G$44,'DB2'!$F$44,LEFT($A259,2)='DB2'!$H$44,'DB2'!$F$44,LEFT($A259,2)='DB2'!$I$44,'DB2'!$F$44,LEFT($A259,2)='DB2'!$J$44,'DB2'!$F$44,LEFT($A259,2)='DB2'!$G$45,'DB2'!$F$45,LEFT($A259,2)='DB2'!$G$46,'DB2'!$F$46,LEFT($A259,2)=LEFT('DB2'!$G$47,2),'DB2'!$F$47)</f>
        <v>Working Paper</v>
      </c>
      <c r="C259" s="16">
        <f>VLOOKUP($A259,'DB1'!$C:$Q,12,0)</f>
        <v>0</v>
      </c>
      <c r="D259" s="12" t="str">
        <f>VLOOKUP($A259,'DB1'!$C:$Q,13,0)</f>
        <v xml:space="preserve"> Lim, Miyoung</v>
      </c>
      <c r="E259" s="16">
        <f>VLOOKUP($A259,'DB1'!$C:$Q,14,0)</f>
        <v>0</v>
      </c>
      <c r="F259" s="16">
        <f>VLOOKUP($A259,'DB1'!$C:$Q,15,0)</f>
        <v>0</v>
      </c>
      <c r="G259" s="17">
        <f>VLOOKUP($A259,'DB1'!$C:$Q,9,0)</f>
        <v>45628</v>
      </c>
      <c r="H259" s="17">
        <f>VLOOKUP($A259,'DB1'!$C:$Q,10,0)</f>
        <v>45808</v>
      </c>
    </row>
    <row r="260" spans="1:8">
      <c r="A260" t="str">
        <f>'DB1'!$C257</f>
        <v>BA2024-030-11</v>
      </c>
      <c r="B260" s="16" t="str" cm="1">
        <f t="array" ref="B260">_xlfn.IFS(LEFT($A260,2)='DB2'!$G$43,'DB2'!$F$43,LEFT($A260,2)='DB2'!$G$44,'DB2'!$F$44,LEFT($A260,2)='DB2'!$H$44,'DB2'!$F$44,LEFT($A260,2)='DB2'!$I$44,'DB2'!$F$44,LEFT($A260,2)='DB2'!$J$44,'DB2'!$F$44,LEFT($A260,2)='DB2'!$G$45,'DB2'!$F$45,LEFT($A260,2)='DB2'!$G$46,'DB2'!$F$46,LEFT($A260,2)=LEFT('DB2'!$G$47,2),'DB2'!$F$47)</f>
        <v>Working Paper</v>
      </c>
      <c r="C260" s="16">
        <f>VLOOKUP($A260,'DB1'!$C:$Q,12,0)</f>
        <v>0</v>
      </c>
      <c r="D260" s="12" t="str">
        <f>VLOOKUP($A260,'DB1'!$C:$Q,13,0)</f>
        <v xml:space="preserve">Kim, Doyeon </v>
      </c>
      <c r="E260" s="16">
        <f>VLOOKUP($A260,'DB1'!$C:$Q,14,0)</f>
        <v>0</v>
      </c>
      <c r="F260" s="16">
        <f>VLOOKUP($A260,'DB1'!$C:$Q,15,0)</f>
        <v>0</v>
      </c>
      <c r="G260" s="17">
        <f>VLOOKUP($A260,'DB1'!$C:$Q,9,0)</f>
        <v>45628</v>
      </c>
      <c r="H260" s="17">
        <f>VLOOKUP($A260,'DB1'!$C:$Q,10,0)</f>
        <v>45808</v>
      </c>
    </row>
    <row r="261" spans="1:8">
      <c r="A261" t="str">
        <f>'DB1'!$C258</f>
        <v>BA2024-030-12</v>
      </c>
      <c r="B261" s="16" t="str" cm="1">
        <f t="array" ref="B261">_xlfn.IFS(LEFT($A261,2)='DB2'!$G$43,'DB2'!$F$43,LEFT($A261,2)='DB2'!$G$44,'DB2'!$F$44,LEFT($A261,2)='DB2'!$H$44,'DB2'!$F$44,LEFT($A261,2)='DB2'!$I$44,'DB2'!$F$44,LEFT($A261,2)='DB2'!$J$44,'DB2'!$F$44,LEFT($A261,2)='DB2'!$G$45,'DB2'!$F$45,LEFT($A261,2)='DB2'!$G$46,'DB2'!$F$46,LEFT($A261,2)=LEFT('DB2'!$G$47,2),'DB2'!$F$47)</f>
        <v>Working Paper</v>
      </c>
      <c r="C261" s="16">
        <f>VLOOKUP($A261,'DB1'!$C:$Q,12,0)</f>
        <v>0</v>
      </c>
      <c r="D261" s="12" t="str">
        <f>VLOOKUP($A261,'DB1'!$C:$Q,13,0)</f>
        <v>Choi, Mikyoung</v>
      </c>
      <c r="E261" s="16">
        <f>VLOOKUP($A261,'DB1'!$C:$Q,14,0)</f>
        <v>0</v>
      </c>
      <c r="F261" s="16">
        <f>VLOOKUP($A261,'DB1'!$C:$Q,15,0)</f>
        <v>0</v>
      </c>
      <c r="G261" s="17">
        <f>VLOOKUP($A261,'DB1'!$C:$Q,9,0)</f>
        <v>45628</v>
      </c>
      <c r="H261" s="17">
        <f>VLOOKUP($A261,'DB1'!$C:$Q,10,0)</f>
        <v>45808</v>
      </c>
    </row>
    <row r="262" spans="1:8">
      <c r="A262" t="str">
        <f>'DB1'!$C259</f>
        <v>BA2024-030-13</v>
      </c>
      <c r="B262" s="16" t="str" cm="1">
        <f t="array" ref="B262">_xlfn.IFS(LEFT($A262,2)='DB2'!$G$43,'DB2'!$F$43,LEFT($A262,2)='DB2'!$G$44,'DB2'!$F$44,LEFT($A262,2)='DB2'!$H$44,'DB2'!$F$44,LEFT($A262,2)='DB2'!$I$44,'DB2'!$F$44,LEFT($A262,2)='DB2'!$J$44,'DB2'!$F$44,LEFT($A262,2)='DB2'!$G$45,'DB2'!$F$45,LEFT($A262,2)='DB2'!$G$46,'DB2'!$F$46,LEFT($A262,2)=LEFT('DB2'!$G$47,2),'DB2'!$F$47)</f>
        <v>Working Paper</v>
      </c>
      <c r="C262" s="16">
        <f>VLOOKUP($A262,'DB1'!$C:$Q,12,0)</f>
        <v>0</v>
      </c>
      <c r="D262" s="12" t="str">
        <f>VLOOKUP($A262,'DB1'!$C:$Q,13,0)</f>
        <v>Kang, Eugene</v>
      </c>
      <c r="E262" s="16">
        <f>VLOOKUP($A262,'DB1'!$C:$Q,14,0)</f>
        <v>0</v>
      </c>
      <c r="F262" s="16">
        <f>VLOOKUP($A262,'DB1'!$C:$Q,15,0)</f>
        <v>0</v>
      </c>
      <c r="G262" s="17">
        <f>VLOOKUP($A262,'DB1'!$C:$Q,9,0)</f>
        <v>45628</v>
      </c>
      <c r="H262" s="17">
        <f>VLOOKUP($A262,'DB1'!$C:$Q,10,0)</f>
        <v>45808</v>
      </c>
    </row>
    <row r="263" spans="1:8">
      <c r="A263" t="str">
        <f>'DB1'!$C260</f>
        <v>BA2025-01</v>
      </c>
      <c r="B263" s="16" t="str" cm="1">
        <f t="array" ref="B263">_xlfn.IFS(LEFT($A263,2)='DB2'!$G$43,'DB2'!$F$43,LEFT($A263,2)='DB2'!$G$44,'DB2'!$F$44,LEFT($A263,2)='DB2'!$H$44,'DB2'!$F$44,LEFT($A263,2)='DB2'!$I$44,'DB2'!$F$44,LEFT($A263,2)='DB2'!$J$44,'DB2'!$F$44,LEFT($A263,2)='DB2'!$G$45,'DB2'!$F$45,LEFT($A263,2)='DB2'!$G$46,'DB2'!$F$46,LEFT($A263,2)=LEFT('DB2'!$G$47,2),'DB2'!$F$47)</f>
        <v>Working Paper</v>
      </c>
      <c r="C263" s="16">
        <f>VLOOKUP($A263,'DB1'!$C:$Q,12,0)</f>
        <v>0</v>
      </c>
      <c r="D263" s="12" t="str">
        <f>VLOOKUP($A263,'DB1'!$C:$Q,13,0)</f>
        <v>Hahn, Jinseok</v>
      </c>
      <c r="E263" s="16">
        <f>VLOOKUP($A263,'DB1'!$C:$Q,14,0)</f>
        <v>0</v>
      </c>
      <c r="F263" s="16">
        <f>VLOOKUP($A263,'DB1'!$C:$Q,15,0)</f>
        <v>0</v>
      </c>
      <c r="G263" s="17">
        <f>VLOOKUP($A263,'DB1'!$C:$Q,9,0)</f>
        <v>45720</v>
      </c>
      <c r="H263" s="17">
        <f>VLOOKUP($A263,'DB1'!$C:$Q,10,0)</f>
        <v>45903</v>
      </c>
    </row>
    <row r="264" spans="1:8">
      <c r="A264" t="str">
        <f>'DB1'!$C261</f>
        <v>BA2025-02</v>
      </c>
      <c r="B264" s="16" t="str" cm="1">
        <f t="array" ref="B264">_xlfn.IFS(LEFT($A264,2)='DB2'!$G$43,'DB2'!$F$43,LEFT($A264,2)='DB2'!$G$44,'DB2'!$F$44,LEFT($A264,2)='DB2'!$H$44,'DB2'!$F$44,LEFT($A264,2)='DB2'!$I$44,'DB2'!$F$44,LEFT($A264,2)='DB2'!$J$44,'DB2'!$F$44,LEFT($A264,2)='DB2'!$G$45,'DB2'!$F$45,LEFT($A264,2)='DB2'!$G$46,'DB2'!$F$46,LEFT($A264,2)=LEFT('DB2'!$G$47,2),'DB2'!$F$47)</f>
        <v>Working Paper</v>
      </c>
      <c r="C264" s="16">
        <f>VLOOKUP($A264,'DB1'!$C:$Q,12,0)</f>
        <v>0</v>
      </c>
      <c r="D264" s="12" t="str">
        <f>VLOOKUP($A264,'DB1'!$C:$Q,13,0)</f>
        <v>Hahn, Jinseok</v>
      </c>
      <c r="E264" s="16">
        <f>VLOOKUP($A264,'DB1'!$C:$Q,14,0)</f>
        <v>0</v>
      </c>
      <c r="F264" s="16">
        <f>VLOOKUP($A264,'DB1'!$C:$Q,15,0)</f>
        <v>0</v>
      </c>
      <c r="G264" s="17">
        <f>VLOOKUP($A264,'DB1'!$C:$Q,9,0)</f>
        <v>45810</v>
      </c>
      <c r="H264" s="17">
        <f>VLOOKUP($A264,'DB1'!$C:$Q,10,0)</f>
        <v>45992</v>
      </c>
    </row>
    <row r="265" spans="1:8">
      <c r="A265" t="str">
        <f>'DB1'!$C262</f>
        <v>BA2025-03</v>
      </c>
      <c r="B265" s="16" t="str" cm="1">
        <f t="array" ref="B265">_xlfn.IFS(LEFT($A265,2)='DB2'!$G$43,'DB2'!$F$43,LEFT($A265,2)='DB2'!$G$44,'DB2'!$F$44,LEFT($A265,2)='DB2'!$H$44,'DB2'!$F$44,LEFT($A265,2)='DB2'!$I$44,'DB2'!$F$44,LEFT($A265,2)='DB2'!$J$44,'DB2'!$F$44,LEFT($A265,2)='DB2'!$G$45,'DB2'!$F$45,LEFT($A265,2)='DB2'!$G$46,'DB2'!$F$46,LEFT($A265,2)=LEFT('DB2'!$G$47,2),'DB2'!$F$47)</f>
        <v>Working Paper</v>
      </c>
      <c r="C265" s="16" t="str">
        <f>VLOOKUP($A265,'DB1'!$C:$Q,12,0)</f>
        <v>해당사항 없음</v>
      </c>
      <c r="D265" s="12" t="str">
        <f>VLOOKUP($A265,'DB1'!$C:$Q,13,0)</f>
        <v>Park, Jongyoon</v>
      </c>
      <c r="E265" s="16">
        <f>VLOOKUP($A265,'DB1'!$C:$Q,14,0)</f>
        <v>0</v>
      </c>
      <c r="F265" s="16">
        <f>VLOOKUP($A265,'DB1'!$C:$Q,15,0)</f>
        <v>0</v>
      </c>
      <c r="G265" s="17">
        <f>VLOOKUP($A265,'DB1'!$C:$Q,9,0)</f>
        <v>45901</v>
      </c>
      <c r="H265" s="17">
        <f>VLOOKUP($A265,'DB1'!$C:$Q,10,0)</f>
        <v>46081</v>
      </c>
    </row>
    <row r="266" spans="1:8">
      <c r="A266" t="str">
        <f>'DB1'!$C263</f>
        <v>BA2025-030-06</v>
      </c>
      <c r="B266" s="16" t="str" cm="1">
        <f t="array" ref="B266">_xlfn.IFS(LEFT($A266,2)='DB2'!$G$43,'DB2'!$F$43,LEFT($A266,2)='DB2'!$G$44,'DB2'!$F$44,LEFT($A266,2)='DB2'!$H$44,'DB2'!$F$44,LEFT($A266,2)='DB2'!$I$44,'DB2'!$F$44,LEFT($A266,2)='DB2'!$J$44,'DB2'!$F$44,LEFT($A266,2)='DB2'!$G$45,'DB2'!$F$45,LEFT($A266,2)='DB2'!$G$46,'DB2'!$F$46,LEFT($A266,2)=LEFT('DB2'!$G$47,2),'DB2'!$F$47)</f>
        <v>Working Paper</v>
      </c>
      <c r="C266" s="16" t="str">
        <f>VLOOKUP($A266,'DB1'!$C:$Q,12,0)</f>
        <v>해당사항 없음 (아래 세부과제로 수록)</v>
      </c>
      <c r="D266" s="12" t="str">
        <f>VLOOKUP($A266,'DB1'!$C:$Q,13,0)</f>
        <v>Jung, Sungwoon</v>
      </c>
      <c r="E266" s="16">
        <f>VLOOKUP($A266,'DB1'!$C:$Q,14,0)</f>
        <v>0</v>
      </c>
      <c r="F266" s="16">
        <f>VLOOKUP($A266,'DB1'!$C:$Q,15,0)</f>
        <v>0</v>
      </c>
      <c r="G266" s="17">
        <f>VLOOKUP($A266,'DB1'!$C:$Q,9,0)</f>
        <v>45901</v>
      </c>
      <c r="H266" s="17">
        <f>VLOOKUP($A266,'DB1'!$C:$Q,10,0)</f>
        <v>46081</v>
      </c>
    </row>
    <row r="267" spans="1:8">
      <c r="A267" t="str">
        <f>'DB1'!$C264</f>
        <v>BA2025-030-07</v>
      </c>
      <c r="B267" s="16" t="str" cm="1">
        <f t="array" ref="B267">_xlfn.IFS(LEFT($A267,2)='DB2'!$G$43,'DB2'!$F$43,LEFT($A267,2)='DB2'!$G$44,'DB2'!$F$44,LEFT($A267,2)='DB2'!$H$44,'DB2'!$F$44,LEFT($A267,2)='DB2'!$I$44,'DB2'!$F$44,LEFT($A267,2)='DB2'!$J$44,'DB2'!$F$44,LEFT($A267,2)='DB2'!$G$45,'DB2'!$F$45,LEFT($A267,2)='DB2'!$G$46,'DB2'!$F$46,LEFT($A267,2)=LEFT('DB2'!$G$47,2),'DB2'!$F$47)</f>
        <v>Working Paper</v>
      </c>
      <c r="C267" s="16" t="str">
        <f>VLOOKUP($A267,'DB1'!$C:$Q,12,0)</f>
        <v>해당사항 없음 (아래 세부과제로 수록)</v>
      </c>
      <c r="D267" s="12" t="str">
        <f>VLOOKUP($A267,'DB1'!$C:$Q,13,0)</f>
        <v xml:space="preserve">Sung, Kyungmin </v>
      </c>
      <c r="E267" s="16">
        <f>VLOOKUP($A267,'DB1'!$C:$Q,14,0)</f>
        <v>0</v>
      </c>
      <c r="F267" s="16">
        <f>VLOOKUP($A267,'DB1'!$C:$Q,15,0)</f>
        <v>0</v>
      </c>
      <c r="G267" s="17">
        <f>VLOOKUP($A267,'DB1'!$C:$Q,9,0)</f>
        <v>45901</v>
      </c>
      <c r="H267" s="17">
        <f>VLOOKUP($A267,'DB1'!$C:$Q,10,0)</f>
        <v>46081</v>
      </c>
    </row>
    <row r="268" spans="1:8" ht="49.5">
      <c r="A268" t="str">
        <f>'DB1'!$C265</f>
        <v>BA2025-031-06</v>
      </c>
      <c r="B268" s="16" t="str" cm="1">
        <f t="array" ref="B268">_xlfn.IFS(LEFT($A268,2)='DB2'!$G$43,'DB2'!$F$43,LEFT($A268,2)='DB2'!$G$44,'DB2'!$F$44,LEFT($A268,2)='DB2'!$H$44,'DB2'!$F$44,LEFT($A268,2)='DB2'!$I$44,'DB2'!$F$44,LEFT($A268,2)='DB2'!$J$44,'DB2'!$F$44,LEFT($A268,2)='DB2'!$G$45,'DB2'!$F$45,LEFT($A268,2)='DB2'!$G$46,'DB2'!$F$46,LEFT($A268,2)=LEFT('DB2'!$G$47,2),'DB2'!$F$47)</f>
        <v>Working Paper</v>
      </c>
      <c r="C268" s="16" t="str">
        <f>VLOOKUP($A268,'DB1'!$C:$Q,12,0)</f>
        <v>Foundational Research for East Asia Green Triangle Cooperation</v>
      </c>
      <c r="D268" s="12" t="str">
        <f>VLOOKUP($A268,'DB1'!$C:$Q,13,0)</f>
        <v>Jung, Sungwoon</v>
      </c>
      <c r="E268" s="16" t="str">
        <f>VLOOKUP($A268,'DB1'!$C:$Q,14,0)</f>
        <v>International &amp; Regional Collaboration</v>
      </c>
      <c r="F268" s="16">
        <f>VLOOKUP($A268,'DB1'!$C:$Q,15,0)</f>
        <v>0</v>
      </c>
      <c r="G268" s="17">
        <f>VLOOKUP($A268,'DB1'!$C:$Q,9,0)</f>
        <v>45901</v>
      </c>
      <c r="H268" s="17">
        <f>VLOOKUP($A268,'DB1'!$C:$Q,10,0)</f>
        <v>46022</v>
      </c>
    </row>
    <row r="269" spans="1:8" ht="33">
      <c r="A269" t="str">
        <f>'DB1'!$C266</f>
        <v>BA2025-031-07</v>
      </c>
      <c r="B269" s="16" t="str" cm="1">
        <f t="array" ref="B269">_xlfn.IFS(LEFT($A269,2)='DB2'!$G$43,'DB2'!$F$43,LEFT($A269,2)='DB2'!$G$44,'DB2'!$F$44,LEFT($A269,2)='DB2'!$H$44,'DB2'!$F$44,LEFT($A269,2)='DB2'!$I$44,'DB2'!$F$44,LEFT($A269,2)='DB2'!$J$44,'DB2'!$F$44,LEFT($A269,2)='DB2'!$G$45,'DB2'!$F$45,LEFT($A269,2)='DB2'!$G$46,'DB2'!$F$46,LEFT($A269,2)=LEFT('DB2'!$G$47,2),'DB2'!$F$47)</f>
        <v>Working Paper</v>
      </c>
      <c r="C269" s="16" t="str">
        <f>VLOOKUP($A269,'DB1'!$C:$Q,12,0)</f>
        <v>Assessment Methodology Review for Drought–Wildfire Compound Disaster Risks</v>
      </c>
      <c r="D269" s="12" t="str">
        <f>VLOOKUP($A269,'DB1'!$C:$Q,13,0)</f>
        <v xml:space="preserve">Sung, Kyungmin </v>
      </c>
      <c r="E269" s="16" t="str">
        <f>VLOOKUP($A269,'DB1'!$C:$Q,14,0)</f>
        <v>Water Management</v>
      </c>
      <c r="F269" s="16" t="str">
        <f>VLOOKUP($A269,'DB1'!$C:$Q,15,0)</f>
        <v>Environmental Assessment</v>
      </c>
      <c r="G269" s="17">
        <f>VLOOKUP($A269,'DB1'!$C:$Q,9,0)</f>
        <v>45901</v>
      </c>
      <c r="H269" s="17">
        <f>VLOOKUP($A269,'DB1'!$C:$Q,10,0)</f>
        <v>46022</v>
      </c>
    </row>
    <row r="270" spans="1:8">
      <c r="A270" t="str">
        <f>'DB1'!$C267</f>
        <v>GP2025-13</v>
      </c>
      <c r="B270" s="16" t="str" cm="1">
        <f t="array" ref="B270">_xlfn.IFS(LEFT($A270,2)='DB2'!$G$43,'DB2'!$F$43,LEFT($A270,2)='DB2'!$G$44,'DB2'!$F$44,LEFT($A270,2)='DB2'!$H$44,'DB2'!$F$44,LEFT($A270,2)='DB2'!$I$44,'DB2'!$F$44,LEFT($A270,2)='DB2'!$J$44,'DB2'!$F$44,LEFT($A270,2)='DB2'!$G$45,'DB2'!$F$45,LEFT($A270,2)='DB2'!$G$46,'DB2'!$F$46,LEFT($A270,2)=LEFT('DB2'!$G$47,2),'DB2'!$F$47)</f>
        <v>General Project</v>
      </c>
      <c r="C270" s="16">
        <f>VLOOKUP($A270,'DB1'!$C:$Q,12,0)</f>
        <v>0</v>
      </c>
      <c r="D270" s="12" t="str">
        <f>VLOOKUP($A270,'DB1'!$C:$Q,13,0)</f>
        <v>Cheon, Jaehong</v>
      </c>
      <c r="E270" s="16">
        <f>VLOOKUP($A270,'DB1'!$C:$Q,14,0)</f>
        <v>0</v>
      </c>
      <c r="F270" s="16">
        <f>VLOOKUP($A270,'DB1'!$C:$Q,15,0)</f>
        <v>0</v>
      </c>
      <c r="G270" s="17">
        <f>VLOOKUP($A270,'DB1'!$C:$Q,9,0)</f>
        <v>45658</v>
      </c>
      <c r="H270" s="17">
        <f>VLOOKUP($A270,'DB1'!$C:$Q,10,0)</f>
        <v>46022</v>
      </c>
    </row>
    <row r="271" spans="1:8">
      <c r="A271" t="str">
        <f>'DB1'!$C268</f>
        <v>GP2025-14</v>
      </c>
      <c r="B271" s="16" t="str" cm="1">
        <f t="array" ref="B271">_xlfn.IFS(LEFT($A271,2)='DB2'!$G$43,'DB2'!$F$43,LEFT($A271,2)='DB2'!$G$44,'DB2'!$F$44,LEFT($A271,2)='DB2'!$H$44,'DB2'!$F$44,LEFT($A271,2)='DB2'!$I$44,'DB2'!$F$44,LEFT($A271,2)='DB2'!$J$44,'DB2'!$F$44,LEFT($A271,2)='DB2'!$G$45,'DB2'!$F$45,LEFT($A271,2)='DB2'!$G$46,'DB2'!$F$46,LEFT($A271,2)=LEFT('DB2'!$G$47,2),'DB2'!$F$47)</f>
        <v>General Project</v>
      </c>
      <c r="C271" s="16">
        <f>VLOOKUP($A271,'DB1'!$C:$Q,12,0)</f>
        <v>0</v>
      </c>
      <c r="D271" s="12" t="str">
        <f>VLOOKUP($A271,'DB1'!$C:$Q,13,0)</f>
        <v>Cheon, Jaehong</v>
      </c>
      <c r="E271" s="16">
        <f>VLOOKUP($A271,'DB1'!$C:$Q,14,0)</f>
        <v>0</v>
      </c>
      <c r="F271" s="16">
        <f>VLOOKUP($A271,'DB1'!$C:$Q,15,0)</f>
        <v>0</v>
      </c>
      <c r="G271" s="17">
        <f>VLOOKUP($A271,'DB1'!$C:$Q,9,0)</f>
        <v>45658</v>
      </c>
      <c r="H271" s="17">
        <f>VLOOKUP($A271,'DB1'!$C:$Q,10,0)</f>
        <v>46022</v>
      </c>
    </row>
    <row r="272" spans="1:8">
      <c r="A272" t="str">
        <f>'DB1'!$C269</f>
        <v>IN2025-01</v>
      </c>
      <c r="B272" s="16" t="e" cm="1">
        <f t="array" ref="B272">_xlfn.IFS(LEFT($A272,2)='DB2'!$G$43,'DB2'!$F$43,LEFT($A272,2)='DB2'!$G$44,'DB2'!$F$44,LEFT($A272,2)='DB2'!$H$44,'DB2'!$F$44,LEFT($A272,2)='DB2'!$I$44,'DB2'!$F$44,LEFT($A272,2)='DB2'!$J$44,'DB2'!$F$44,LEFT($A272,2)='DB2'!$G$45,'DB2'!$F$45,LEFT($A272,2)='DB2'!$G$46,'DB2'!$F$46,LEFT($A272,2)=LEFT('DB2'!$G$47,2),'DB2'!$F$47)</f>
        <v>#N/A</v>
      </c>
      <c r="C272" s="16">
        <f>VLOOKUP($A272,'DB1'!$C:$Q,12,0)</f>
        <v>0</v>
      </c>
      <c r="D272" s="12" t="str">
        <f>VLOOKUP($A272,'DB1'!$C:$Q,13,0)</f>
        <v>Lee, Sangbum</v>
      </c>
      <c r="E272" s="16">
        <f>VLOOKUP($A272,'DB1'!$C:$Q,14,0)</f>
        <v>0</v>
      </c>
      <c r="F272" s="16">
        <f>VLOOKUP($A272,'DB1'!$C:$Q,15,0)</f>
        <v>0</v>
      </c>
      <c r="G272" s="17">
        <f>VLOOKUP($A272,'DB1'!$C:$Q,9,0)</f>
        <v>45658</v>
      </c>
      <c r="H272" s="17">
        <f>VLOOKUP($A272,'DB1'!$C:$Q,10,0)</f>
        <v>46022</v>
      </c>
    </row>
    <row r="273" spans="1:8">
      <c r="A273" t="str">
        <f>'DB1'!$C270</f>
        <v>IN2025-02</v>
      </c>
      <c r="B273" s="16" t="e" cm="1">
        <f t="array" ref="B273">_xlfn.IFS(LEFT($A273,2)='DB2'!$G$43,'DB2'!$F$43,LEFT($A273,2)='DB2'!$G$44,'DB2'!$F$44,LEFT($A273,2)='DB2'!$H$44,'DB2'!$F$44,LEFT($A273,2)='DB2'!$I$44,'DB2'!$F$44,LEFT($A273,2)='DB2'!$J$44,'DB2'!$F$44,LEFT($A273,2)='DB2'!$G$45,'DB2'!$F$45,LEFT($A273,2)='DB2'!$G$46,'DB2'!$F$46,LEFT($A273,2)=LEFT('DB2'!$G$47,2),'DB2'!$F$47)</f>
        <v>#N/A</v>
      </c>
      <c r="C273" s="16">
        <f>VLOOKUP($A273,'DB1'!$C:$Q,12,0)</f>
        <v>0</v>
      </c>
      <c r="D273" s="12" t="str">
        <f>VLOOKUP($A273,'DB1'!$C:$Q,13,0)</f>
        <v>Lee, Sangbum</v>
      </c>
      <c r="E273" s="16">
        <f>VLOOKUP($A273,'DB1'!$C:$Q,14,0)</f>
        <v>0</v>
      </c>
      <c r="F273" s="16">
        <f>VLOOKUP($A273,'DB1'!$C:$Q,15,0)</f>
        <v>0</v>
      </c>
      <c r="G273" s="17">
        <f>VLOOKUP($A273,'DB1'!$C:$Q,9,0)</f>
        <v>45658</v>
      </c>
      <c r="H273" s="17">
        <f>VLOOKUP($A273,'DB1'!$C:$Q,10,0)</f>
        <v>46022</v>
      </c>
    </row>
    <row r="274" spans="1:8">
      <c r="A274" t="str">
        <f>'DB1'!$C271</f>
        <v>IN2025-03</v>
      </c>
      <c r="B274" s="16" t="e" cm="1">
        <f t="array" ref="B274">_xlfn.IFS(LEFT($A274,2)='DB2'!$G$43,'DB2'!$F$43,LEFT($A274,2)='DB2'!$G$44,'DB2'!$F$44,LEFT($A274,2)='DB2'!$H$44,'DB2'!$F$44,LEFT($A274,2)='DB2'!$I$44,'DB2'!$F$44,LEFT($A274,2)='DB2'!$J$44,'DB2'!$F$44,LEFT($A274,2)='DB2'!$G$45,'DB2'!$F$45,LEFT($A274,2)='DB2'!$G$46,'DB2'!$F$46,LEFT($A274,2)=LEFT('DB2'!$G$47,2),'DB2'!$F$47)</f>
        <v>#N/A</v>
      </c>
      <c r="C274" s="16" t="str">
        <f>VLOOKUP($A274,'DB1'!$C:$Q,12,0)</f>
        <v xml:space="preserve">해당사항 없음 </v>
      </c>
      <c r="D274" s="12" t="str">
        <f>VLOOKUP($A274,'DB1'!$C:$Q,13,0)</f>
        <v>Park, Jun Hyun</v>
      </c>
      <c r="E274" s="16">
        <f>VLOOKUP($A274,'DB1'!$C:$Q,14,0)</f>
        <v>0</v>
      </c>
      <c r="F274" s="16">
        <f>VLOOKUP($A274,'DB1'!$C:$Q,15,0)</f>
        <v>0</v>
      </c>
      <c r="G274" s="17">
        <f>VLOOKUP($A274,'DB1'!$C:$Q,9,0)</f>
        <v>45870</v>
      </c>
      <c r="H274" s="17">
        <f>VLOOKUP($A274,'DB1'!$C:$Q,10,0)</f>
        <v>46081</v>
      </c>
    </row>
    <row r="275" spans="1:8">
      <c r="A275" t="str">
        <f>'DB1'!$C272</f>
        <v>IN2025-04</v>
      </c>
      <c r="B275" s="16" t="e" cm="1">
        <f t="array" ref="B275">_xlfn.IFS(LEFT($A275,2)='DB2'!$G$43,'DB2'!$F$43,LEFT($A275,2)='DB2'!$G$44,'DB2'!$F$44,LEFT($A275,2)='DB2'!$H$44,'DB2'!$F$44,LEFT($A275,2)='DB2'!$I$44,'DB2'!$F$44,LEFT($A275,2)='DB2'!$J$44,'DB2'!$F$44,LEFT($A275,2)='DB2'!$G$45,'DB2'!$F$45,LEFT($A275,2)='DB2'!$G$46,'DB2'!$F$46,LEFT($A275,2)=LEFT('DB2'!$G$47,2),'DB2'!$F$47)</f>
        <v>#N/A</v>
      </c>
      <c r="C275" s="16">
        <f>VLOOKUP($A275,'DB1'!$C:$Q,12,0)</f>
        <v>0</v>
      </c>
      <c r="D275" s="12" t="str">
        <f>VLOOKUP($A275,'DB1'!$C:$Q,13,0)</f>
        <v>Lee, Sangbum</v>
      </c>
      <c r="E275" s="16">
        <f>VLOOKUP($A275,'DB1'!$C:$Q,14,0)</f>
        <v>0</v>
      </c>
      <c r="F275" s="16">
        <f>VLOOKUP($A275,'DB1'!$C:$Q,15,0)</f>
        <v>0</v>
      </c>
      <c r="G275" s="17">
        <f>VLOOKUP($A275,'DB1'!$C:$Q,9,0)</f>
        <v>45658</v>
      </c>
      <c r="H275" s="17">
        <f>VLOOKUP($A275,'DB1'!$C:$Q,10,0)</f>
        <v>46022</v>
      </c>
    </row>
    <row r="276" spans="1:8">
      <c r="A276" t="str">
        <f>'DB1'!$C273</f>
        <v>RD2024-01</v>
      </c>
      <c r="B276" s="16" t="e" cm="1">
        <f t="array" ref="B276">_xlfn.IFS(LEFT($A276,2)='DB2'!$G$43,'DB2'!$F$43,LEFT($A276,2)='DB2'!$G$44,'DB2'!$F$44,LEFT($A276,2)='DB2'!$H$44,'DB2'!$F$44,LEFT($A276,2)='DB2'!$I$44,'DB2'!$F$44,LEFT($A276,2)='DB2'!$J$44,'DB2'!$F$44,LEFT($A276,2)='DB2'!$G$45,'DB2'!$F$45,LEFT($A276,2)='DB2'!$G$46,'DB2'!$F$46,LEFT($A276,2)=LEFT('DB2'!$G$47,2),'DB2'!$F$47)</f>
        <v>#N/A</v>
      </c>
      <c r="C276" s="16">
        <f>VLOOKUP($A276,'DB1'!$C:$Q,12,0)</f>
        <v>0</v>
      </c>
      <c r="D276" s="12" t="str">
        <f>VLOOKUP($A276,'DB1'!$C:$Q,13,0)</f>
        <v>Lee, Youngsun</v>
      </c>
      <c r="E276" s="16">
        <f>VLOOKUP($A276,'DB1'!$C:$Q,14,0)</f>
        <v>0</v>
      </c>
      <c r="F276" s="16">
        <f>VLOOKUP($A276,'DB1'!$C:$Q,15,0)</f>
        <v>0</v>
      </c>
      <c r="G276" s="17">
        <f>VLOOKUP($A276,'DB1'!$C:$Q,9,0)</f>
        <v>45383</v>
      </c>
      <c r="H276" s="17">
        <f>VLOOKUP($A276,'DB1'!$C:$Q,10,0)</f>
        <v>45747</v>
      </c>
    </row>
    <row r="277" spans="1:8">
      <c r="A277" t="str">
        <f>'DB1'!$C274</f>
        <v>RD2025-01</v>
      </c>
      <c r="B277" s="16" t="e" cm="1">
        <f t="array" ref="B277">_xlfn.IFS(LEFT($A277,2)='DB2'!$G$43,'DB2'!$F$43,LEFT($A277,2)='DB2'!$G$44,'DB2'!$F$44,LEFT($A277,2)='DB2'!$H$44,'DB2'!$F$44,LEFT($A277,2)='DB2'!$I$44,'DB2'!$F$44,LEFT($A277,2)='DB2'!$J$44,'DB2'!$F$44,LEFT($A277,2)='DB2'!$G$45,'DB2'!$F$45,LEFT($A277,2)='DB2'!$G$46,'DB2'!$F$46,LEFT($A277,2)=LEFT('DB2'!$G$47,2),'DB2'!$F$47)</f>
        <v>#N/A</v>
      </c>
      <c r="C277" s="16">
        <f>VLOOKUP($A277,'DB1'!$C:$Q,12,0)</f>
        <v>0</v>
      </c>
      <c r="D277" s="12" t="str">
        <f>VLOOKUP($A277,'DB1'!$C:$Q,13,0)</f>
        <v>Kim, Yonggu</v>
      </c>
      <c r="E277" s="16">
        <f>VLOOKUP($A277,'DB1'!$C:$Q,14,0)</f>
        <v>0</v>
      </c>
      <c r="F277" s="16">
        <f>VLOOKUP($A277,'DB1'!$C:$Q,15,0)</f>
        <v>0</v>
      </c>
      <c r="G277" s="17">
        <f>VLOOKUP($A277,'DB1'!$C:$Q,9,0)</f>
        <v>45748</v>
      </c>
      <c r="H277" s="17">
        <f>VLOOKUP($A277,'DB1'!$C:$Q,10,0)</f>
        <v>46112</v>
      </c>
    </row>
    <row r="278" spans="1:8">
      <c r="A278" t="str">
        <f>'DB1'!$C275</f>
        <v>RD2025-02</v>
      </c>
      <c r="B278" s="16" t="e" cm="1">
        <f t="array" ref="B278">_xlfn.IFS(LEFT($A278,2)='DB2'!$G$43,'DB2'!$F$43,LEFT($A278,2)='DB2'!$G$44,'DB2'!$F$44,LEFT($A278,2)='DB2'!$H$44,'DB2'!$F$44,LEFT($A278,2)='DB2'!$I$44,'DB2'!$F$44,LEFT($A278,2)='DB2'!$J$44,'DB2'!$F$44,LEFT($A278,2)='DB2'!$G$45,'DB2'!$F$45,LEFT($A278,2)='DB2'!$G$46,'DB2'!$F$46,LEFT($A278,2)=LEFT('DB2'!$G$47,2),'DB2'!$F$47)</f>
        <v>#N/A</v>
      </c>
      <c r="C278" s="16">
        <f>VLOOKUP($A278,'DB1'!$C:$Q,12,0)</f>
        <v>0</v>
      </c>
      <c r="D278" s="12" t="str">
        <f>VLOOKUP($A278,'DB1'!$C:$Q,13,0)</f>
        <v>Hong, Je-woo</v>
      </c>
      <c r="E278" s="16">
        <f>VLOOKUP($A278,'DB1'!$C:$Q,14,0)</f>
        <v>0</v>
      </c>
      <c r="F278" s="16">
        <f>VLOOKUP($A278,'DB1'!$C:$Q,15,0)</f>
        <v>0</v>
      </c>
      <c r="G278" s="17">
        <f>VLOOKUP($A278,'DB1'!$C:$Q,9,0)</f>
        <v>45778</v>
      </c>
      <c r="H278" s="17">
        <f>VLOOKUP($A278,'DB1'!$C:$Q,10,0)</f>
        <v>46022</v>
      </c>
    </row>
    <row r="279" spans="1:8">
      <c r="A279" t="str">
        <f>'DB1'!$C276</f>
        <v>RI2024-01</v>
      </c>
      <c r="B279" s="16" t="str" cm="1">
        <f t="array" ref="B279">_xlfn.IFS(LEFT($A279,2)='DB2'!$G$43,'DB2'!$F$43,LEFT($A279,2)='DB2'!$G$44,'DB2'!$F$44,LEFT($A279,2)='DB2'!$H$44,'DB2'!$F$44,LEFT($A279,2)='DB2'!$I$44,'DB2'!$F$44,LEFT($A279,2)='DB2'!$J$44,'DB2'!$F$44,LEFT($A279,2)='DB2'!$G$45,'DB2'!$F$45,LEFT($A279,2)='DB2'!$G$46,'DB2'!$F$46,LEFT($A279,2)=LEFT('DB2'!$G$47,2),'DB2'!$F$47)</f>
        <v>General Project</v>
      </c>
      <c r="C279" s="16">
        <f>VLOOKUP($A279,'DB1'!$C:$Q,12,0)</f>
        <v>0</v>
      </c>
      <c r="D279" s="12" t="str">
        <f>VLOOKUP($A279,'DB1'!$C:$Q,13,0)</f>
        <v>Cheon, Jaehong</v>
      </c>
      <c r="E279" s="16">
        <f>VLOOKUP($A279,'DB1'!$C:$Q,14,0)</f>
        <v>0</v>
      </c>
      <c r="F279" s="16">
        <f>VLOOKUP($A279,'DB1'!$C:$Q,15,0)</f>
        <v>0</v>
      </c>
      <c r="G279" s="17">
        <f>VLOOKUP($A279,'DB1'!$C:$Q,9,0)</f>
        <v>45536</v>
      </c>
      <c r="H279" s="17">
        <f>VLOOKUP($A279,'DB1'!$C:$Q,10,0)</f>
        <v>45808</v>
      </c>
    </row>
    <row r="280" spans="1:8">
      <c r="A280" t="str">
        <f>'DB1'!$C277</f>
        <v>RI2025-03</v>
      </c>
      <c r="B280" s="16" t="str" cm="1">
        <f t="array" ref="B280">_xlfn.IFS(LEFT($A280,2)='DB2'!$G$43,'DB2'!$F$43,LEFT($A280,2)='DB2'!$G$44,'DB2'!$F$44,LEFT($A280,2)='DB2'!$H$44,'DB2'!$F$44,LEFT($A280,2)='DB2'!$I$44,'DB2'!$F$44,LEFT($A280,2)='DB2'!$J$44,'DB2'!$F$44,LEFT($A280,2)='DB2'!$G$45,'DB2'!$F$45,LEFT($A280,2)='DB2'!$G$46,'DB2'!$F$46,LEFT($A280,2)=LEFT('DB2'!$G$47,2),'DB2'!$F$47)</f>
        <v>General Project</v>
      </c>
      <c r="C280" s="16">
        <f>VLOOKUP($A280,'DB1'!$C:$Q,12,0)</f>
        <v>0</v>
      </c>
      <c r="D280" s="12" t="str">
        <f>VLOOKUP($A280,'DB1'!$C:$Q,13,0)</f>
        <v>Cheon, Jaehong</v>
      </c>
      <c r="E280" s="16">
        <f>VLOOKUP($A280,'DB1'!$C:$Q,14,0)</f>
        <v>0</v>
      </c>
      <c r="F280" s="16">
        <f>VLOOKUP($A280,'DB1'!$C:$Q,15,0)</f>
        <v>0</v>
      </c>
      <c r="G280" s="17">
        <f>VLOOKUP($A280,'DB1'!$C:$Q,9,0)</f>
        <v>45778</v>
      </c>
      <c r="H280" s="17">
        <f>VLOOKUP($A280,'DB1'!$C:$Q,10,0)</f>
        <v>46142</v>
      </c>
    </row>
    <row r="281" spans="1:8">
      <c r="A281" t="str">
        <f>'DB1'!$C278</f>
        <v>RR2024-19</v>
      </c>
      <c r="B281" s="16" t="str" cm="1">
        <f t="array" ref="B281">_xlfn.IFS(LEFT($A281,2)='DB2'!$G$43,'DB2'!$F$43,LEFT($A281,2)='DB2'!$G$44,'DB2'!$F$44,LEFT($A281,2)='DB2'!$H$44,'DB2'!$F$44,LEFT($A281,2)='DB2'!$I$44,'DB2'!$F$44,LEFT($A281,2)='DB2'!$J$44,'DB2'!$F$44,LEFT($A281,2)='DB2'!$G$45,'DB2'!$F$45,LEFT($A281,2)='DB2'!$G$46,'DB2'!$F$46,LEFT($A281,2)=LEFT('DB2'!$G$47,2),'DB2'!$F$47)</f>
        <v>General Project</v>
      </c>
      <c r="C281" s="16">
        <f>VLOOKUP($A281,'DB1'!$C:$Q,12,0)</f>
        <v>0</v>
      </c>
      <c r="D281" s="12" t="str">
        <f>VLOOKUP($A281,'DB1'!$C:$Q,13,0)</f>
        <v xml:space="preserve">Jung, Kichul </v>
      </c>
      <c r="E281" s="16">
        <f>VLOOKUP($A281,'DB1'!$C:$Q,14,0)</f>
        <v>0</v>
      </c>
      <c r="F281" s="16">
        <f>VLOOKUP($A281,'DB1'!$C:$Q,15,0)</f>
        <v>0</v>
      </c>
      <c r="G281" s="17">
        <f>VLOOKUP($A281,'DB1'!$C:$Q,9,0)</f>
        <v>45413</v>
      </c>
      <c r="H281" s="17">
        <f>VLOOKUP($A281,'DB1'!$C:$Q,10,0)</f>
        <v>45777</v>
      </c>
    </row>
    <row r="282" spans="1:8">
      <c r="A282" t="str">
        <f>'DB1'!$C279</f>
        <v>RT2025-01</v>
      </c>
      <c r="B282" s="16" t="e" cm="1">
        <f t="array" ref="B282">_xlfn.IFS(LEFT($A282,2)='DB2'!$G$43,'DB2'!$F$43,LEFT($A282,2)='DB2'!$G$44,'DB2'!$F$44,LEFT($A282,2)='DB2'!$H$44,'DB2'!$F$44,LEFT($A282,2)='DB2'!$I$44,'DB2'!$F$44,LEFT($A282,2)='DB2'!$J$44,'DB2'!$F$44,LEFT($A282,2)='DB2'!$G$45,'DB2'!$F$45,LEFT($A282,2)='DB2'!$G$46,'DB2'!$F$46,LEFT($A282,2)=LEFT('DB2'!$G$47,2),'DB2'!$F$47)</f>
        <v>#N/A</v>
      </c>
      <c r="C282" s="16">
        <f>VLOOKUP($A282,'DB1'!$C:$Q,12,0)</f>
        <v>0</v>
      </c>
      <c r="D282" s="12" t="str">
        <f>VLOOKUP($A282,'DB1'!$C:$Q,13,0)</f>
        <v>Kim, Dae Sik</v>
      </c>
      <c r="E282" s="16">
        <f>VLOOKUP($A282,'DB1'!$C:$Q,14,0)</f>
        <v>0</v>
      </c>
      <c r="F282" s="16">
        <f>VLOOKUP($A282,'DB1'!$C:$Q,15,0)</f>
        <v>0</v>
      </c>
      <c r="G282" s="17">
        <f>VLOOKUP($A282,'DB1'!$C:$Q,9,0)</f>
        <v>45778</v>
      </c>
      <c r="H282" s="17">
        <f>VLOOKUP($A282,'DB1'!$C:$Q,10,0)</f>
        <v>46022</v>
      </c>
    </row>
    <row r="283" spans="1:8">
      <c r="A283" t="str">
        <f>'DB1'!$C280</f>
        <v>SP2025-01</v>
      </c>
      <c r="B283" s="16" t="str" cm="1">
        <f t="array" ref="B283">_xlfn.IFS(LEFT($A283,2)='DB2'!$G$43,'DB2'!$F$43,LEFT($A283,2)='DB2'!$G$44,'DB2'!$F$44,LEFT($A283,2)='DB2'!$H$44,'DB2'!$F$44,LEFT($A283,2)='DB2'!$I$44,'DB2'!$F$44,LEFT($A283,2)='DB2'!$J$44,'DB2'!$F$44,LEFT($A283,2)='DB2'!$G$45,'DB2'!$F$45,LEFT($A283,2)='DB2'!$G$46,'DB2'!$F$46,LEFT($A283,2)=LEFT('DB2'!$G$47,2),'DB2'!$F$47)</f>
        <v>General Project</v>
      </c>
      <c r="C283" s="16">
        <f>VLOOKUP($A283,'DB1'!$C:$Q,12,0)</f>
        <v>0</v>
      </c>
      <c r="D283" s="12" t="str">
        <f>VLOOKUP($A283,'DB1'!$C:$Q,13,0)</f>
        <v>Yum, Jung-yoon</v>
      </c>
      <c r="E283" s="16">
        <f>VLOOKUP($A283,'DB1'!$C:$Q,14,0)</f>
        <v>0</v>
      </c>
      <c r="F283" s="16">
        <f>VLOOKUP($A283,'DB1'!$C:$Q,15,0)</f>
        <v>0</v>
      </c>
      <c r="G283" s="17">
        <f>VLOOKUP($A283,'DB1'!$C:$Q,9,0)</f>
        <v>45658</v>
      </c>
      <c r="H283" s="17">
        <f>VLOOKUP($A283,'DB1'!$C:$Q,10,0)</f>
        <v>46022</v>
      </c>
    </row>
    <row r="284" spans="1:8">
      <c r="A284" t="str">
        <f>'DB1'!$C281</f>
        <v>SP2025-02</v>
      </c>
      <c r="B284" s="16" t="str" cm="1">
        <f t="array" ref="B284">_xlfn.IFS(LEFT($A284,2)='DB2'!$G$43,'DB2'!$F$43,LEFT($A284,2)='DB2'!$G$44,'DB2'!$F$44,LEFT($A284,2)='DB2'!$H$44,'DB2'!$F$44,LEFT($A284,2)='DB2'!$I$44,'DB2'!$F$44,LEFT($A284,2)='DB2'!$J$44,'DB2'!$F$44,LEFT($A284,2)='DB2'!$G$45,'DB2'!$F$45,LEFT($A284,2)='DB2'!$G$46,'DB2'!$F$46,LEFT($A284,2)=LEFT('DB2'!$G$47,2),'DB2'!$F$47)</f>
        <v>General Project</v>
      </c>
      <c r="C284" s="16">
        <f>VLOOKUP($A284,'DB1'!$C:$Q,12,0)</f>
        <v>0</v>
      </c>
      <c r="D284" s="12" t="str">
        <f>VLOOKUP($A284,'DB1'!$C:$Q,13,0)</f>
        <v>Hong, Je-woo</v>
      </c>
      <c r="E284" s="16">
        <f>VLOOKUP($A284,'DB1'!$C:$Q,14,0)</f>
        <v>0</v>
      </c>
      <c r="F284" s="16">
        <f>VLOOKUP($A284,'DB1'!$C:$Q,15,0)</f>
        <v>0</v>
      </c>
      <c r="G284" s="17">
        <f>VLOOKUP($A284,'DB1'!$C:$Q,9,0)</f>
        <v>45658</v>
      </c>
      <c r="H284" s="17">
        <f>VLOOKUP($A284,'DB1'!$C:$Q,10,0)</f>
        <v>46022</v>
      </c>
    </row>
    <row r="285" spans="1:8">
      <c r="A285" t="str">
        <f>'DB1'!$C282</f>
        <v>SP2025-04</v>
      </c>
      <c r="B285" s="16" t="str" cm="1">
        <f t="array" ref="B285">_xlfn.IFS(LEFT($A285,2)='DB2'!$G$43,'DB2'!$F$43,LEFT($A285,2)='DB2'!$G$44,'DB2'!$F$44,LEFT($A285,2)='DB2'!$H$44,'DB2'!$F$44,LEFT($A285,2)='DB2'!$I$44,'DB2'!$F$44,LEFT($A285,2)='DB2'!$J$44,'DB2'!$F$44,LEFT($A285,2)='DB2'!$G$45,'DB2'!$F$45,LEFT($A285,2)='DB2'!$G$46,'DB2'!$F$46,LEFT($A285,2)=LEFT('DB2'!$G$47,2),'DB2'!$F$47)</f>
        <v>General Project</v>
      </c>
      <c r="C285" s="16">
        <f>VLOOKUP($A285,'DB1'!$C:$Q,12,0)</f>
        <v>0</v>
      </c>
      <c r="D285" s="12" t="str">
        <f>VLOOKUP($A285,'DB1'!$C:$Q,13,0)</f>
        <v>Park, Jongyoon</v>
      </c>
      <c r="E285" s="16">
        <f>VLOOKUP($A285,'DB1'!$C:$Q,14,0)</f>
        <v>0</v>
      </c>
      <c r="F285" s="16">
        <f>VLOOKUP($A285,'DB1'!$C:$Q,15,0)</f>
        <v>0</v>
      </c>
      <c r="G285" s="17">
        <f>VLOOKUP($A285,'DB1'!$C:$Q,9,0)</f>
        <v>45658</v>
      </c>
      <c r="H285" s="17">
        <f>VLOOKUP($A285,'DB1'!$C:$Q,10,0)</f>
        <v>46022</v>
      </c>
    </row>
    <row r="286" spans="1:8">
      <c r="A286" t="str">
        <f>'DB1'!$C283</f>
        <v>SP2025-05</v>
      </c>
      <c r="B286" s="16" t="str" cm="1">
        <f t="array" ref="B286">_xlfn.IFS(LEFT($A286,2)='DB2'!$G$43,'DB2'!$F$43,LEFT($A286,2)='DB2'!$G$44,'DB2'!$F$44,LEFT($A286,2)='DB2'!$H$44,'DB2'!$F$44,LEFT($A286,2)='DB2'!$I$44,'DB2'!$F$44,LEFT($A286,2)='DB2'!$J$44,'DB2'!$F$44,LEFT($A286,2)='DB2'!$G$45,'DB2'!$F$45,LEFT($A286,2)='DB2'!$G$46,'DB2'!$F$46,LEFT($A286,2)=LEFT('DB2'!$G$47,2),'DB2'!$F$47)</f>
        <v>General Project</v>
      </c>
      <c r="C286" s="16">
        <f>VLOOKUP($A286,'DB1'!$C:$Q,12,0)</f>
        <v>0</v>
      </c>
      <c r="D286" s="12" t="str">
        <f>VLOOKUP($A286,'DB1'!$C:$Q,13,0)</f>
        <v>Shin, Kyunghee</v>
      </c>
      <c r="E286" s="16">
        <f>VLOOKUP($A286,'DB1'!$C:$Q,14,0)</f>
        <v>0</v>
      </c>
      <c r="F286" s="16">
        <f>VLOOKUP($A286,'DB1'!$C:$Q,15,0)</f>
        <v>0</v>
      </c>
      <c r="G286" s="17">
        <f>VLOOKUP($A286,'DB1'!$C:$Q,9,0)</f>
        <v>45658</v>
      </c>
      <c r="H286" s="17">
        <f>VLOOKUP($A286,'DB1'!$C:$Q,10,0)</f>
        <v>46022</v>
      </c>
    </row>
    <row r="287" spans="1:8">
      <c r="A287" t="str">
        <f>'DB1'!$C284</f>
        <v>SP2025-06</v>
      </c>
      <c r="B287" s="16" t="str" cm="1">
        <f t="array" ref="B287">_xlfn.IFS(LEFT($A287,2)='DB2'!$G$43,'DB2'!$F$43,LEFT($A287,2)='DB2'!$G$44,'DB2'!$F$44,LEFT($A287,2)='DB2'!$H$44,'DB2'!$F$44,LEFT($A287,2)='DB2'!$I$44,'DB2'!$F$44,LEFT($A287,2)='DB2'!$J$44,'DB2'!$F$44,LEFT($A287,2)='DB2'!$G$45,'DB2'!$F$45,LEFT($A287,2)='DB2'!$G$46,'DB2'!$F$46,LEFT($A287,2)=LEFT('DB2'!$G$47,2),'DB2'!$F$47)</f>
        <v>General Project</v>
      </c>
      <c r="C287" s="16">
        <f>VLOOKUP($A287,'DB1'!$C:$Q,12,0)</f>
        <v>0</v>
      </c>
      <c r="D287" s="12" t="str">
        <f>VLOOKUP($A287,'DB1'!$C:$Q,13,0)</f>
        <v>Cheon, Jaehong</v>
      </c>
      <c r="E287" s="16">
        <f>VLOOKUP($A287,'DB1'!$C:$Q,14,0)</f>
        <v>0</v>
      </c>
      <c r="F287" s="16">
        <f>VLOOKUP($A287,'DB1'!$C:$Q,15,0)</f>
        <v>0</v>
      </c>
      <c r="G287" s="17">
        <f>VLOOKUP($A287,'DB1'!$C:$Q,9,0)</f>
        <v>45658</v>
      </c>
      <c r="H287" s="17">
        <f>VLOOKUP($A287,'DB1'!$C:$Q,10,0)</f>
        <v>46022</v>
      </c>
    </row>
    <row r="288" spans="1:8">
      <c r="A288" t="str">
        <f>'DB1'!$C285</f>
        <v>SP2025-07</v>
      </c>
      <c r="B288" s="16" t="str" cm="1">
        <f t="array" ref="B288">_xlfn.IFS(LEFT($A288,2)='DB2'!$G$43,'DB2'!$F$43,LEFT($A288,2)='DB2'!$G$44,'DB2'!$F$44,LEFT($A288,2)='DB2'!$H$44,'DB2'!$F$44,LEFT($A288,2)='DB2'!$I$44,'DB2'!$F$44,LEFT($A288,2)='DB2'!$J$44,'DB2'!$F$44,LEFT($A288,2)='DB2'!$G$45,'DB2'!$F$45,LEFT($A288,2)='DB2'!$G$46,'DB2'!$F$46,LEFT($A288,2)=LEFT('DB2'!$G$47,2),'DB2'!$F$47)</f>
        <v>General Project</v>
      </c>
      <c r="C288" s="16">
        <f>VLOOKUP($A288,'DB1'!$C:$Q,12,0)</f>
        <v>0</v>
      </c>
      <c r="D288" s="12" t="str">
        <f>VLOOKUP($A288,'DB1'!$C:$Q,13,0)</f>
        <v>Cheon, Jaehong</v>
      </c>
      <c r="E288" s="16">
        <f>VLOOKUP($A288,'DB1'!$C:$Q,14,0)</f>
        <v>0</v>
      </c>
      <c r="F288" s="16">
        <f>VLOOKUP($A288,'DB1'!$C:$Q,15,0)</f>
        <v>0</v>
      </c>
      <c r="G288" s="17">
        <f>VLOOKUP($A288,'DB1'!$C:$Q,9,0)</f>
        <v>45658</v>
      </c>
      <c r="H288" s="17">
        <f>VLOOKUP($A288,'DB1'!$C:$Q,10,0)</f>
        <v>46022</v>
      </c>
    </row>
    <row r="289" spans="1:8">
      <c r="A289" t="str">
        <f>'DB1'!$C286</f>
        <v>SP2025-08</v>
      </c>
      <c r="B289" s="16" t="str" cm="1">
        <f t="array" ref="B289">_xlfn.IFS(LEFT($A289,2)='DB2'!$G$43,'DB2'!$F$43,LEFT($A289,2)='DB2'!$G$44,'DB2'!$F$44,LEFT($A289,2)='DB2'!$H$44,'DB2'!$F$44,LEFT($A289,2)='DB2'!$I$44,'DB2'!$F$44,LEFT($A289,2)='DB2'!$J$44,'DB2'!$F$44,LEFT($A289,2)='DB2'!$G$45,'DB2'!$F$45,LEFT($A289,2)='DB2'!$G$46,'DB2'!$F$46,LEFT($A289,2)=LEFT('DB2'!$G$47,2),'DB2'!$F$47)</f>
        <v>General Project</v>
      </c>
      <c r="C289" s="16">
        <f>VLOOKUP($A289,'DB1'!$C:$Q,12,0)</f>
        <v>0</v>
      </c>
      <c r="D289" s="12" t="str">
        <f>VLOOKUP($A289,'DB1'!$C:$Q,13,0)</f>
        <v>Kim, Yonggu</v>
      </c>
      <c r="E289" s="16">
        <f>VLOOKUP($A289,'DB1'!$C:$Q,14,0)</f>
        <v>0</v>
      </c>
      <c r="F289" s="16">
        <f>VLOOKUP($A289,'DB1'!$C:$Q,15,0)</f>
        <v>0</v>
      </c>
      <c r="G289" s="17">
        <f>VLOOKUP($A289,'DB1'!$C:$Q,9,0)</f>
        <v>45658</v>
      </c>
      <c r="H289" s="17">
        <f>VLOOKUP($A289,'DB1'!$C:$Q,10,0)</f>
        <v>46022</v>
      </c>
    </row>
    <row r="290" spans="1:8" ht="33">
      <c r="A290" t="str">
        <f>'DB1'!$C287</f>
        <v>WO2024-08</v>
      </c>
      <c r="B290" s="16" t="str" cm="1">
        <f t="array" ref="B290">_xlfn.IFS(LEFT($A290,2)='DB2'!$G$43,'DB2'!$F$43,LEFT($A290,2)='DB2'!$G$44,'DB2'!$F$44,LEFT($A290,2)='DB2'!$H$44,'DB2'!$F$44,LEFT($A290,2)='DB2'!$I$44,'DB2'!$F$44,LEFT($A290,2)='DB2'!$J$44,'DB2'!$F$44,LEFT($A290,2)='DB2'!$G$45,'DB2'!$F$45,LEFT($A290,2)='DB2'!$G$46,'DB2'!$F$46,LEFT($A290,2)=LEFT('DB2'!$G$47,2),'DB2'!$F$47)</f>
        <v>Policy Issue Study</v>
      </c>
      <c r="C290" s="16">
        <f>VLOOKUP($A290,'DB1'!$C:$Q,12,0)</f>
        <v>0</v>
      </c>
      <c r="D290" s="12" t="str">
        <f>VLOOKUP($A290,'DB1'!$C:$Q,13,0)</f>
        <v xml:space="preserve">Ju, Munsol </v>
      </c>
      <c r="E290" s="16">
        <f>VLOOKUP($A290,'DB1'!$C:$Q,14,0)</f>
        <v>0</v>
      </c>
      <c r="F290" s="16">
        <f>VLOOKUP($A290,'DB1'!$C:$Q,15,0)</f>
        <v>0</v>
      </c>
      <c r="G290" s="17">
        <f>VLOOKUP($A290,'DB1'!$C:$Q,9,0)</f>
        <v>45597</v>
      </c>
      <c r="H290" s="17">
        <f>VLOOKUP($A290,'DB1'!$C:$Q,10,0)</f>
        <v>45777</v>
      </c>
    </row>
    <row r="291" spans="1:8" ht="33">
      <c r="A291" t="str">
        <f>'DB1'!$C288</f>
        <v>WO2024-09</v>
      </c>
      <c r="B291" s="16" t="str" cm="1">
        <f t="array" ref="B291">_xlfn.IFS(LEFT($A291,2)='DB2'!$G$43,'DB2'!$F$43,LEFT($A291,2)='DB2'!$G$44,'DB2'!$F$44,LEFT($A291,2)='DB2'!$H$44,'DB2'!$F$44,LEFT($A291,2)='DB2'!$I$44,'DB2'!$F$44,LEFT($A291,2)='DB2'!$J$44,'DB2'!$F$44,LEFT($A291,2)='DB2'!$G$45,'DB2'!$F$45,LEFT($A291,2)='DB2'!$G$46,'DB2'!$F$46,LEFT($A291,2)=LEFT('DB2'!$G$47,2),'DB2'!$F$47)</f>
        <v>Policy Issue Study</v>
      </c>
      <c r="C291" s="16">
        <f>VLOOKUP($A291,'DB1'!$C:$Q,12,0)</f>
        <v>0</v>
      </c>
      <c r="D291" s="12" t="str">
        <f>VLOOKUP($A291,'DB1'!$C:$Q,13,0)</f>
        <v xml:space="preserve">Oh, Myoungjin </v>
      </c>
      <c r="E291" s="16">
        <f>VLOOKUP($A291,'DB1'!$C:$Q,14,0)</f>
        <v>0</v>
      </c>
      <c r="F291" s="16">
        <f>VLOOKUP($A291,'DB1'!$C:$Q,15,0)</f>
        <v>0</v>
      </c>
      <c r="G291" s="17">
        <f>VLOOKUP($A291,'DB1'!$C:$Q,9,0)</f>
        <v>45597</v>
      </c>
      <c r="H291" s="17">
        <f>VLOOKUP($A291,'DB1'!$C:$Q,10,0)</f>
        <v>45777</v>
      </c>
    </row>
    <row r="292" spans="1:8" ht="33">
      <c r="A292" t="str">
        <f>'DB1'!$C289</f>
        <v>WO2025-07</v>
      </c>
      <c r="B292" s="16" t="str" cm="1">
        <f t="array" ref="B292">_xlfn.IFS(LEFT($A292,2)='DB2'!$G$43,'DB2'!$F$43,LEFT($A292,2)='DB2'!$G$44,'DB2'!$F$44,LEFT($A292,2)='DB2'!$H$44,'DB2'!$F$44,LEFT($A292,2)='DB2'!$I$44,'DB2'!$F$44,LEFT($A292,2)='DB2'!$J$44,'DB2'!$F$44,LEFT($A292,2)='DB2'!$G$45,'DB2'!$F$45,LEFT($A292,2)='DB2'!$G$46,'DB2'!$F$46,LEFT($A292,2)=LEFT('DB2'!$G$47,2),'DB2'!$F$47)</f>
        <v>Policy Issue Study</v>
      </c>
      <c r="C292" s="16" t="str">
        <f>VLOOKUP($A292,'DB1'!$C:$Q,12,0)</f>
        <v>해당사항 없음 (아래 세부과제로 수록)</v>
      </c>
      <c r="D292" s="12" t="str">
        <f>VLOOKUP($A292,'DB1'!$C:$Q,13,0)</f>
        <v>Lee, Ji-Young</v>
      </c>
      <c r="E292" s="16">
        <f>VLOOKUP($A292,'DB1'!$C:$Q,14,0)</f>
        <v>0</v>
      </c>
      <c r="F292" s="16">
        <f>VLOOKUP($A292,'DB1'!$C:$Q,15,0)</f>
        <v>0</v>
      </c>
      <c r="G292" s="17">
        <f>VLOOKUP($A292,'DB1'!$C:$Q,9,0)</f>
        <v>45901</v>
      </c>
      <c r="H292" s="17">
        <f>VLOOKUP($A292,'DB1'!$C:$Q,10,0)</f>
        <v>46081</v>
      </c>
    </row>
    <row r="293" spans="1:8" ht="33">
      <c r="A293" t="str">
        <f>'DB1'!$C290</f>
        <v>WO2025-07-01</v>
      </c>
      <c r="B293" s="16" t="str" cm="1">
        <f t="array" ref="B293">_xlfn.IFS(LEFT($A293,2)='DB2'!$G$43,'DB2'!$F$43,LEFT($A293,2)='DB2'!$G$44,'DB2'!$F$44,LEFT($A293,2)='DB2'!$H$44,'DB2'!$F$44,LEFT($A293,2)='DB2'!$I$44,'DB2'!$F$44,LEFT($A293,2)='DB2'!$J$44,'DB2'!$F$44,LEFT($A293,2)='DB2'!$G$45,'DB2'!$F$45,LEFT($A293,2)='DB2'!$G$46,'DB2'!$F$46,LEFT($A293,2)=LEFT('DB2'!$G$47,2),'DB2'!$F$47)</f>
        <v>Policy Issue Study</v>
      </c>
      <c r="C293" s="16" t="str">
        <f>VLOOKUP($A293,'DB1'!$C:$Q,12,0)</f>
        <v>Development of Measures for Linking Legal Frameworks and Enhancing Management to Strengthen Urban Green Networks</v>
      </c>
      <c r="D293" s="12" t="str">
        <f>VLOOKUP($A293,'DB1'!$C:$Q,13,0)</f>
        <v>Lee, Ji-Young</v>
      </c>
      <c r="E293" s="16" t="str">
        <f>VLOOKUP($A293,'DB1'!$C:$Q,14,0)</f>
        <v>Land Management and Environment</v>
      </c>
      <c r="F293" s="16">
        <f>VLOOKUP($A293,'DB1'!$C:$Q,15,0)</f>
        <v>0</v>
      </c>
      <c r="G293" s="17">
        <f>VLOOKUP($A293,'DB1'!$C:$Q,9,0)</f>
        <v>45901</v>
      </c>
      <c r="H293" s="17">
        <f>VLOOKUP($A293,'DB1'!$C:$Q,10,0)</f>
        <v>46022</v>
      </c>
    </row>
    <row r="294" spans="1:8" ht="33">
      <c r="A294" t="str">
        <f>'DB1'!$C291</f>
        <v>WO2025-08</v>
      </c>
      <c r="B294" s="16" t="str" cm="1">
        <f t="array" ref="B294">_xlfn.IFS(LEFT($A294,2)='DB2'!$G$43,'DB2'!$F$43,LEFT($A294,2)='DB2'!$G$44,'DB2'!$F$44,LEFT($A294,2)='DB2'!$H$44,'DB2'!$F$44,LEFT($A294,2)='DB2'!$I$44,'DB2'!$F$44,LEFT($A294,2)='DB2'!$J$44,'DB2'!$F$44,LEFT($A294,2)='DB2'!$G$45,'DB2'!$F$45,LEFT($A294,2)='DB2'!$G$46,'DB2'!$F$46,LEFT($A294,2)=LEFT('DB2'!$G$47,2),'DB2'!$F$47)</f>
        <v>Policy Issue Study</v>
      </c>
      <c r="C294" s="16" t="str">
        <f>VLOOKUP($A294,'DB1'!$C:$Q,12,0)</f>
        <v>해당사항 없음 (아래 세부과제로 수록)</v>
      </c>
      <c r="D294" s="12">
        <f>VLOOKUP($A294,'DB1'!$C:$Q,13,0)</f>
        <v>0</v>
      </c>
      <c r="E294" s="16">
        <f>VLOOKUP($A294,'DB1'!$C:$Q,14,0)</f>
        <v>0</v>
      </c>
      <c r="F294" s="16">
        <f>VLOOKUP($A294,'DB1'!$C:$Q,15,0)</f>
        <v>0</v>
      </c>
      <c r="G294" s="17">
        <f>VLOOKUP($A294,'DB1'!$C:$Q,9,0)</f>
        <v>45901</v>
      </c>
      <c r="H294" s="17">
        <f>VLOOKUP($A294,'DB1'!$C:$Q,10,0)</f>
        <v>46081</v>
      </c>
    </row>
    <row r="295" spans="1:8" ht="33">
      <c r="A295" t="str">
        <f>'DB1'!$C292</f>
        <v>WO2025-08-01</v>
      </c>
      <c r="B295" s="16" t="str" cm="1">
        <f t="array" ref="B295">_xlfn.IFS(LEFT($A295,2)='DB2'!$G$43,'DB2'!$F$43,LEFT($A295,2)='DB2'!$G$44,'DB2'!$F$44,LEFT($A295,2)='DB2'!$H$44,'DB2'!$F$44,LEFT($A295,2)='DB2'!$I$44,'DB2'!$F$44,LEFT($A295,2)='DB2'!$J$44,'DB2'!$F$44,LEFT($A295,2)='DB2'!$G$45,'DB2'!$F$45,LEFT($A295,2)='DB2'!$G$46,'DB2'!$F$46,LEFT($A295,2)=LEFT('DB2'!$G$47,2),'DB2'!$F$47)</f>
        <v>Policy Issue Study</v>
      </c>
      <c r="C295" s="16" t="str">
        <f>VLOOKUP($A295,'DB1'!$C:$Q,12,0)</f>
        <v>Strategic Framework for Converting Aging Planned Cities into AIoT-Enabled Intelligent Eco-Cities</v>
      </c>
      <c r="D295" s="12" t="str">
        <f>VLOOKUP($A295,'DB1'!$C:$Q,13,0)</f>
        <v>Choi, Hee-Sun</v>
      </c>
      <c r="E295" s="16" t="str">
        <f>VLOOKUP($A295,'DB1'!$C:$Q,14,0)</f>
        <v>Land Management and Environment</v>
      </c>
      <c r="F295" s="16" t="str">
        <f>VLOOKUP($A295,'DB1'!$C:$Q,15,0)</f>
        <v>Environmental Informatics</v>
      </c>
      <c r="G295" s="17">
        <f>VLOOKUP($A295,'DB1'!$C:$Q,9,0)</f>
        <v>45901</v>
      </c>
      <c r="H295" s="17">
        <f>VLOOKUP($A295,'DB1'!$C:$Q,10,0)</f>
        <v>46022</v>
      </c>
    </row>
    <row r="296" spans="1:8" ht="33">
      <c r="A296" t="str">
        <f>'DB1'!$C293</f>
        <v>WO2025-09</v>
      </c>
      <c r="B296" s="16" t="str" cm="1">
        <f t="array" ref="B296">_xlfn.IFS(LEFT($A296,2)='DB2'!$G$43,'DB2'!$F$43,LEFT($A296,2)='DB2'!$G$44,'DB2'!$F$44,LEFT($A296,2)='DB2'!$H$44,'DB2'!$F$44,LEFT($A296,2)='DB2'!$I$44,'DB2'!$F$44,LEFT($A296,2)='DB2'!$J$44,'DB2'!$F$44,LEFT($A296,2)='DB2'!$G$45,'DB2'!$F$45,LEFT($A296,2)='DB2'!$G$46,'DB2'!$F$46,LEFT($A296,2)=LEFT('DB2'!$G$47,2),'DB2'!$F$47)</f>
        <v>Policy Issue Study</v>
      </c>
      <c r="C296" s="16" t="str">
        <f>VLOOKUP($A296,'DB1'!$C:$Q,12,0)</f>
        <v>해당사항 없음 (아래 세부과제로 수록)</v>
      </c>
      <c r="D296" s="12" t="str">
        <f>VLOOKUP($A296,'DB1'!$C:$Q,13,0)</f>
        <v>Shin, Dong Won</v>
      </c>
      <c r="E296" s="16">
        <f>VLOOKUP($A296,'DB1'!$C:$Q,14,0)</f>
        <v>0</v>
      </c>
      <c r="F296" s="16">
        <f>VLOOKUP($A296,'DB1'!$C:$Q,15,0)</f>
        <v>0</v>
      </c>
      <c r="G296" s="17">
        <f>VLOOKUP($A296,'DB1'!$C:$Q,9,0)</f>
        <v>45901</v>
      </c>
      <c r="H296" s="17">
        <f>VLOOKUP($A296,'DB1'!$C:$Q,10,0)</f>
        <v>46081</v>
      </c>
    </row>
    <row r="297" spans="1:8" ht="33">
      <c r="A297" t="str">
        <f>'DB1'!$C294</f>
        <v>WO2025-09-01</v>
      </c>
      <c r="B297" s="16" t="str" cm="1">
        <f t="array" ref="B297">_xlfn.IFS(LEFT($A297,2)='DB2'!$G$43,'DB2'!$F$43,LEFT($A297,2)='DB2'!$G$44,'DB2'!$F$44,LEFT($A297,2)='DB2'!$H$44,'DB2'!$F$44,LEFT($A297,2)='DB2'!$I$44,'DB2'!$F$44,LEFT($A297,2)='DB2'!$J$44,'DB2'!$F$44,LEFT($A297,2)='DB2'!$G$45,'DB2'!$F$45,LEFT($A297,2)='DB2'!$G$46,'DB2'!$F$46,LEFT($A297,2)=LEFT('DB2'!$G$47,2),'DB2'!$F$47)</f>
        <v>Policy Issue Study</v>
      </c>
      <c r="C297" s="16" t="str">
        <f>VLOOKUP($A297,'DB1'!$C:$Q,12,0)</f>
        <v>Issues and Policy Measures for Promoting Exports of Climate and Environmental Industries to Achieve NDC Targets</v>
      </c>
      <c r="D297" s="12" t="str">
        <f>VLOOKUP($A297,'DB1'!$C:$Q,13,0)</f>
        <v>Shin, Dong Won</v>
      </c>
      <c r="E297" s="16" t="str">
        <f>VLOOKUP($A297,'DB1'!$C:$Q,14,0)</f>
        <v>Climate Environment (GHG Reduction)</v>
      </c>
      <c r="F297" s="16" t="str">
        <f>VLOOKUP($A297,'DB1'!$C:$Q,15,0)</f>
        <v>Environmental Economics</v>
      </c>
      <c r="G297" s="17">
        <f>VLOOKUP($A297,'DB1'!$C:$Q,9,0)</f>
        <v>45901</v>
      </c>
      <c r="H297" s="17">
        <f>VLOOKUP($A297,'DB1'!$C:$Q,10,0)</f>
        <v>46022</v>
      </c>
    </row>
    <row r="298" spans="1:8" ht="33">
      <c r="A298" t="str">
        <f>'DB1'!$C295</f>
        <v>WO2025-10</v>
      </c>
      <c r="B298" s="16" t="str" cm="1">
        <f t="array" ref="B298">_xlfn.IFS(LEFT($A298,2)='DB2'!$G$43,'DB2'!$F$43,LEFT($A298,2)='DB2'!$G$44,'DB2'!$F$44,LEFT($A298,2)='DB2'!$H$44,'DB2'!$F$44,LEFT($A298,2)='DB2'!$I$44,'DB2'!$F$44,LEFT($A298,2)='DB2'!$J$44,'DB2'!$F$44,LEFT($A298,2)='DB2'!$G$45,'DB2'!$F$45,LEFT($A298,2)='DB2'!$G$46,'DB2'!$F$46,LEFT($A298,2)=LEFT('DB2'!$G$47,2),'DB2'!$F$47)</f>
        <v>Policy Issue Study</v>
      </c>
      <c r="C298" s="16" t="str">
        <f>VLOOKUP($A298,'DB1'!$C:$Q,12,0)</f>
        <v>해당사항 없음 (아래 세부과제로 수록)</v>
      </c>
      <c r="D298" s="12" t="str">
        <f>VLOOKUP($A298,'DB1'!$C:$Q,13,0)</f>
        <v>Hahn, Jinseok</v>
      </c>
      <c r="E298" s="16">
        <f>VLOOKUP($A298,'DB1'!$C:$Q,14,0)</f>
        <v>0</v>
      </c>
      <c r="F298" s="16">
        <f>VLOOKUP($A298,'DB1'!$C:$Q,15,0)</f>
        <v>0</v>
      </c>
      <c r="G298" s="17">
        <f>VLOOKUP($A298,'DB1'!$C:$Q,9,0)</f>
        <v>45971</v>
      </c>
      <c r="H298" s="17">
        <f>VLOOKUP($A298,'DB1'!$C:$Q,10,0)</f>
        <v>46151</v>
      </c>
    </row>
    <row r="299" spans="1:8" ht="33">
      <c r="A299" t="str">
        <f>'DB1'!$C296</f>
        <v>WO2025-10-01</v>
      </c>
      <c r="B299" s="16" t="str" cm="1">
        <f t="array" ref="B299">_xlfn.IFS(LEFT($A299,2)='DB2'!$G$43,'DB2'!$F$43,LEFT($A299,2)='DB2'!$G$44,'DB2'!$F$44,LEFT($A299,2)='DB2'!$H$44,'DB2'!$F$44,LEFT($A299,2)='DB2'!$I$44,'DB2'!$F$44,LEFT($A299,2)='DB2'!$J$44,'DB2'!$F$44,LEFT($A299,2)='DB2'!$G$45,'DB2'!$F$45,LEFT($A299,2)='DB2'!$G$46,'DB2'!$F$46,LEFT($A299,2)=LEFT('DB2'!$G$47,2),'DB2'!$F$47)</f>
        <v>Policy Issue Study</v>
      </c>
      <c r="C299" s="16" t="str">
        <f>VLOOKUP($A299,'DB1'!$C:$Q,12,0)</f>
        <v>Measures for Adjusting Transport Fuel Prices and Using Tax Revenues to Promote the Transition to Zero-Emission Vehicles</v>
      </c>
      <c r="D299" s="12" t="str">
        <f>VLOOKUP($A299,'DB1'!$C:$Q,13,0)</f>
        <v>Hahn, Jinseok</v>
      </c>
      <c r="E299" s="16" t="str">
        <f>VLOOKUP($A299,'DB1'!$C:$Q,14,0)</f>
        <v>Climate Environment (GHG Reduction)</v>
      </c>
      <c r="F299" s="16" t="str">
        <f>VLOOKUP($A299,'DB1'!$C:$Q,15,0)</f>
        <v>Environmental Economics</v>
      </c>
      <c r="G299" s="17">
        <f>VLOOKUP($A299,'DB1'!$C:$Q,9,0)</f>
        <v>45971</v>
      </c>
      <c r="H299" s="17">
        <f>VLOOKUP($A299,'DB1'!$C:$Q,10,0)</f>
        <v>46022</v>
      </c>
    </row>
    <row r="300" spans="1:8" ht="33">
      <c r="A300" t="str">
        <f>'DB1'!$C297</f>
        <v>WO2025-11</v>
      </c>
      <c r="B300" s="16" t="str" cm="1">
        <f t="array" ref="B300">_xlfn.IFS(LEFT($A300,2)='DB2'!$G$43,'DB2'!$F$43,LEFT($A300,2)='DB2'!$G$44,'DB2'!$F$44,LEFT($A300,2)='DB2'!$H$44,'DB2'!$F$44,LEFT($A300,2)='DB2'!$I$44,'DB2'!$F$44,LEFT($A300,2)='DB2'!$J$44,'DB2'!$F$44,LEFT($A300,2)='DB2'!$G$45,'DB2'!$F$45,LEFT($A300,2)='DB2'!$G$46,'DB2'!$F$46,LEFT($A300,2)=LEFT('DB2'!$G$47,2),'DB2'!$F$47)</f>
        <v>Policy Issue Study</v>
      </c>
      <c r="C300" s="16" t="str">
        <f>VLOOKUP($A300,'DB1'!$C:$Q,12,0)</f>
        <v>해당사항 없음 (아래 세부과제로 수록)</v>
      </c>
      <c r="D300" s="12" t="str">
        <f>VLOOKUP($A300,'DB1'!$C:$Q,13,0)</f>
        <v>Choi, Mikyoung</v>
      </c>
      <c r="E300" s="16">
        <f>VLOOKUP($A300,'DB1'!$C:$Q,14,0)</f>
        <v>0</v>
      </c>
      <c r="F300" s="16">
        <f>VLOOKUP($A300,'DB1'!$C:$Q,15,0)</f>
        <v>0</v>
      </c>
      <c r="G300" s="17">
        <f>VLOOKUP($A300,'DB1'!$C:$Q,9,0)</f>
        <v>45971</v>
      </c>
      <c r="H300" s="17">
        <f>VLOOKUP($A300,'DB1'!$C:$Q,10,0)</f>
        <v>46151</v>
      </c>
    </row>
    <row r="301" spans="1:8" ht="33">
      <c r="A301" t="str">
        <f>'DB1'!$C298</f>
        <v>WO2025-11-01</v>
      </c>
      <c r="B301" s="16" t="str" cm="1">
        <f t="array" ref="B301">_xlfn.IFS(LEFT($A301,2)='DB2'!$G$43,'DB2'!$F$43,LEFT($A301,2)='DB2'!$G$44,'DB2'!$F$44,LEFT($A301,2)='DB2'!$H$44,'DB2'!$F$44,LEFT($A301,2)='DB2'!$I$44,'DB2'!$F$44,LEFT($A301,2)='DB2'!$J$44,'DB2'!$F$44,LEFT($A301,2)='DB2'!$G$45,'DB2'!$F$45,LEFT($A301,2)='DB2'!$G$46,'DB2'!$F$46,LEFT($A301,2)=LEFT('DB2'!$G$47,2),'DB2'!$F$47)</f>
        <v>Policy Issue Study</v>
      </c>
      <c r="C301" s="16" t="str">
        <f>VLOOKUP($A301,'DB1'!$C:$Q,12,0)</f>
        <v>Assessment of Effectiveness and Policy Measures for Securing River Flood Buffer Spaces</v>
      </c>
      <c r="D301" s="12" t="str">
        <f>VLOOKUP($A301,'DB1'!$C:$Q,13,0)</f>
        <v>Choi, Mikyoung</v>
      </c>
      <c r="E301" s="16" t="str">
        <f>VLOOKUP($A301,'DB1'!$C:$Q,14,0)</f>
        <v>Water Management</v>
      </c>
      <c r="F301" s="16" t="str">
        <f>VLOOKUP($A301,'DB1'!$C:$Q,15,0)</f>
        <v>Land Management and Environment</v>
      </c>
      <c r="G301" s="17">
        <f>VLOOKUP($A301,'DB1'!$C:$Q,9,0)</f>
        <v>45971</v>
      </c>
      <c r="H301" s="17">
        <f>VLOOKUP($A301,'DB1'!$C:$Q,10,0)</f>
        <v>46022</v>
      </c>
    </row>
    <row r="302" spans="1:8">
      <c r="A302">
        <f>'DB1'!$C299</f>
        <v>0</v>
      </c>
    </row>
    <row r="303" spans="1:8">
      <c r="A303">
        <f>'DB1'!$C300</f>
        <v>0</v>
      </c>
    </row>
    <row r="304" spans="1:8">
      <c r="A304">
        <f>'DB1'!$C301</f>
        <v>0</v>
      </c>
    </row>
    <row r="305" spans="1:1">
      <c r="A305">
        <f>'DB1'!$C302</f>
        <v>0</v>
      </c>
    </row>
    <row r="306" spans="1:1">
      <c r="A306">
        <f>'DB1'!$C303</f>
        <v>0</v>
      </c>
    </row>
    <row r="307" spans="1:1">
      <c r="A307">
        <f>'DB1'!$C304</f>
        <v>0</v>
      </c>
    </row>
    <row r="308" spans="1:1">
      <c r="A308">
        <f>'DB1'!$C305</f>
        <v>0</v>
      </c>
    </row>
    <row r="309" spans="1:1">
      <c r="A309">
        <f>'DB1'!$C306</f>
        <v>0</v>
      </c>
    </row>
    <row r="310" spans="1:1">
      <c r="A310">
        <f>'DB1'!$C307</f>
        <v>0</v>
      </c>
    </row>
    <row r="311" spans="1:1">
      <c r="A311">
        <f>'DB1'!$C308</f>
        <v>0</v>
      </c>
    </row>
  </sheetData>
  <mergeCells count="1">
    <mergeCell ref="B2:H2"/>
  </mergeCells>
  <phoneticPr fontId="2" type="noConversion"/>
  <conditionalFormatting sqref="B1:H4 B6:H1048576">
    <cfRule type="containsText" dxfId="10" priority="2" operator="containsText" text="#">
      <formula>NOT(ISERROR(SEARCH("#",B1)))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5AB8B3-82E8-4A8F-BB81-9DD8244CC4E6}">
  <sheetPr filterMode="1"/>
  <dimension ref="A1:S298"/>
  <sheetViews>
    <sheetView topLeftCell="A243" zoomScaleNormal="100" workbookViewId="0">
      <pane xSplit="8" topLeftCell="K1" activePane="topRight" state="frozen"/>
      <selection pane="topRight" activeCell="N292" sqref="N292"/>
    </sheetView>
  </sheetViews>
  <sheetFormatPr defaultRowHeight="16.5"/>
  <cols>
    <col min="1" max="1" width="5" style="5" customWidth="1"/>
    <col min="2" max="2" width="12.5" style="5" customWidth="1"/>
    <col min="3" max="3" width="15" style="5" customWidth="1"/>
    <col min="4" max="4" width="37.5" style="5" customWidth="1"/>
    <col min="5" max="6" width="0" style="5" hidden="1" customWidth="1"/>
    <col min="7" max="7" width="12.5" style="5" customWidth="1"/>
    <col min="8" max="8" width="0" style="5" hidden="1" customWidth="1"/>
    <col min="9" max="10" width="17.5" style="5" customWidth="1"/>
    <col min="11" max="12" width="12.5" style="5" customWidth="1"/>
    <col min="13" max="13" width="25" style="5" hidden="1" customWidth="1"/>
    <col min="14" max="14" width="125.5" style="5" customWidth="1"/>
    <col min="15" max="17" width="20.625" style="5" customWidth="1"/>
    <col min="18" max="18" width="29" style="5" bestFit="1" customWidth="1"/>
    <col min="19" max="19" width="38.375" style="5" bestFit="1" customWidth="1"/>
    <col min="20" max="16384" width="9" style="5"/>
  </cols>
  <sheetData>
    <row r="1" spans="1:19" ht="22.5" customHeight="1">
      <c r="A1" s="25" t="s">
        <v>8</v>
      </c>
      <c r="B1" s="25" t="s">
        <v>9</v>
      </c>
      <c r="C1" s="25" t="s">
        <v>10</v>
      </c>
      <c r="D1" s="25" t="s">
        <v>11</v>
      </c>
      <c r="E1" s="18" t="s">
        <v>12</v>
      </c>
      <c r="F1" s="18" t="s">
        <v>13</v>
      </c>
      <c r="G1" s="25" t="s">
        <v>14</v>
      </c>
      <c r="H1" s="18" t="s">
        <v>15</v>
      </c>
      <c r="I1" s="25" t="s">
        <v>16</v>
      </c>
      <c r="J1" s="25" t="s">
        <v>17</v>
      </c>
      <c r="K1" s="25" t="s">
        <v>18</v>
      </c>
      <c r="L1" s="25" t="s">
        <v>19</v>
      </c>
      <c r="M1" s="18" t="s">
        <v>20</v>
      </c>
      <c r="N1" s="25" t="s">
        <v>1301</v>
      </c>
      <c r="O1" s="25" t="s">
        <v>3</v>
      </c>
      <c r="P1" s="25" t="s">
        <v>4</v>
      </c>
      <c r="Q1" s="25" t="s">
        <v>5</v>
      </c>
      <c r="R1" s="25" t="s">
        <v>1898</v>
      </c>
      <c r="S1" s="25" t="s">
        <v>1899</v>
      </c>
    </row>
    <row r="2" spans="1:19" ht="22.5" hidden="1" customHeight="1">
      <c r="A2" s="19" t="s">
        <v>21</v>
      </c>
      <c r="B2" s="19" t="s">
        <v>22</v>
      </c>
      <c r="C2" s="19" t="s">
        <v>23</v>
      </c>
      <c r="D2" s="20" t="s">
        <v>24</v>
      </c>
      <c r="E2" s="20"/>
      <c r="F2" s="20" t="s">
        <v>25</v>
      </c>
      <c r="G2" s="19" t="s">
        <v>26</v>
      </c>
      <c r="H2" s="20" t="s">
        <v>27</v>
      </c>
      <c r="I2" s="20" t="s">
        <v>28</v>
      </c>
      <c r="J2" s="21">
        <v>174545450</v>
      </c>
      <c r="K2" s="22">
        <v>45054</v>
      </c>
      <c r="L2" s="22">
        <v>45713</v>
      </c>
      <c r="M2" s="20" t="s">
        <v>29</v>
      </c>
      <c r="N2" s="23" t="s">
        <v>2144</v>
      </c>
      <c r="O2" s="23" t="str">
        <f>IFERROR(VLOOKUP($G2,'DB2'!$A:$B,2,0),"공동과책 확인")</f>
        <v>Lee, Soojae</v>
      </c>
      <c r="P2" s="23" t="s">
        <v>1902</v>
      </c>
      <c r="Q2" s="23" t="s">
        <v>1901</v>
      </c>
      <c r="R2" s="23" t="str">
        <f>IFERROR(VLOOKUP($I2,'DB2'!$F$2:$I$50,2,0),"옛날 부서명 확인")</f>
        <v xml:space="preserve">Natural Environment Division </v>
      </c>
      <c r="S2" s="23" t="str">
        <f>IFERROR(VLOOKUP($I2,'DB2'!$F$2:$I$50,4,0),"옛날 부서명 확인")</f>
        <v xml:space="preserve">Land and Environment Research Group </v>
      </c>
    </row>
    <row r="3" spans="1:19" ht="22.5" hidden="1" customHeight="1">
      <c r="A3" s="19" t="s">
        <v>30</v>
      </c>
      <c r="B3" s="19" t="s">
        <v>22</v>
      </c>
      <c r="C3" s="19" t="s">
        <v>31</v>
      </c>
      <c r="D3" s="20" t="s">
        <v>32</v>
      </c>
      <c r="E3" s="20"/>
      <c r="F3" s="20" t="s">
        <v>25</v>
      </c>
      <c r="G3" s="19" t="s">
        <v>26</v>
      </c>
      <c r="H3" s="20" t="s">
        <v>33</v>
      </c>
      <c r="I3" s="20" t="s">
        <v>28</v>
      </c>
      <c r="J3" s="21">
        <v>449090900</v>
      </c>
      <c r="K3" s="22">
        <v>45056</v>
      </c>
      <c r="L3" s="22">
        <v>46275</v>
      </c>
      <c r="M3" s="20" t="s">
        <v>34</v>
      </c>
      <c r="N3" s="23" t="s">
        <v>2145</v>
      </c>
      <c r="O3" s="23" t="str">
        <f>IFERROR(VLOOKUP($G3,'DB2'!$A:$B,2,0),"공동과책 확인")</f>
        <v>Lee, Soojae</v>
      </c>
      <c r="P3" s="23" t="s">
        <v>1902</v>
      </c>
      <c r="Q3" s="23" t="s">
        <v>1914</v>
      </c>
      <c r="R3" s="23" t="str">
        <f>IFERROR(VLOOKUP($I3,'DB2'!$F$2:$I$50,2,0),"옛날 부서명 확인")</f>
        <v xml:space="preserve">Natural Environment Division </v>
      </c>
      <c r="S3" s="23" t="str">
        <f>IFERROR(VLOOKUP($I3,'DB2'!$F$2:$I$50,4,0),"옛날 부서명 확인")</f>
        <v xml:space="preserve">Land and Environment Research Group </v>
      </c>
    </row>
    <row r="4" spans="1:19" ht="22.5" hidden="1" customHeight="1">
      <c r="A4" s="19" t="s">
        <v>35</v>
      </c>
      <c r="B4" s="19" t="s">
        <v>22</v>
      </c>
      <c r="C4" s="19" t="s">
        <v>36</v>
      </c>
      <c r="D4" s="20" t="s">
        <v>37</v>
      </c>
      <c r="E4" s="20"/>
      <c r="F4" s="20" t="s">
        <v>38</v>
      </c>
      <c r="G4" s="19" t="s">
        <v>39</v>
      </c>
      <c r="H4" s="20" t="s">
        <v>40</v>
      </c>
      <c r="I4" s="20" t="s">
        <v>41</v>
      </c>
      <c r="J4" s="21">
        <v>621000000</v>
      </c>
      <c r="K4" s="22">
        <v>45287</v>
      </c>
      <c r="L4" s="22">
        <v>45961</v>
      </c>
      <c r="M4" s="20" t="s">
        <v>42</v>
      </c>
      <c r="N4" s="23" t="s">
        <v>2146</v>
      </c>
      <c r="O4" s="23" t="str">
        <f>IFERROR(VLOOKUP($G4,'DB2'!$A:$B,2,0),"공동과책 확인")</f>
        <v>Cho, Kongjang</v>
      </c>
      <c r="P4" s="23" t="s">
        <v>1911</v>
      </c>
      <c r="Q4" s="23" t="s">
        <v>1913</v>
      </c>
      <c r="R4" s="23" t="str">
        <f>IFERROR(VLOOKUP($I4,'DB2'!$F$2:$I$50,2,0),"옛날 부서명 확인")</f>
        <v xml:space="preserve">Living Environment and Society Division </v>
      </c>
      <c r="S4" s="23" t="str">
        <f>IFERROR(VLOOKUP($I4,'DB2'!$F$2:$I$50,4,0),"옛날 부서명 확인")</f>
        <v xml:space="preserve">Sustainable Development Research Group  </v>
      </c>
    </row>
    <row r="5" spans="1:19" ht="22.5" hidden="1" customHeight="1">
      <c r="A5" s="19" t="s">
        <v>43</v>
      </c>
      <c r="B5" s="19" t="s">
        <v>22</v>
      </c>
      <c r="C5" s="19" t="s">
        <v>44</v>
      </c>
      <c r="D5" s="20" t="s">
        <v>45</v>
      </c>
      <c r="E5" s="20"/>
      <c r="F5" s="20" t="s">
        <v>46</v>
      </c>
      <c r="G5" s="19" t="s">
        <v>47</v>
      </c>
      <c r="H5" s="20" t="s">
        <v>48</v>
      </c>
      <c r="I5" s="20" t="s">
        <v>222</v>
      </c>
      <c r="J5" s="21">
        <v>136170000</v>
      </c>
      <c r="K5" s="22">
        <v>45309</v>
      </c>
      <c r="L5" s="22">
        <v>45673</v>
      </c>
      <c r="M5" s="20" t="s">
        <v>49</v>
      </c>
      <c r="N5" s="23" t="s">
        <v>1916</v>
      </c>
      <c r="O5" s="23" t="str">
        <f>IFERROR(VLOOKUP($G5,'DB2'!$A:$B,2,0),"공동과책 확인")</f>
        <v>Son, Seungwoo</v>
      </c>
      <c r="P5" s="23" t="s">
        <v>1901</v>
      </c>
      <c r="Q5" s="23" t="s">
        <v>1902</v>
      </c>
      <c r="R5" s="23" t="str">
        <f>IFERROR(VLOOKUP($I5,'DB2'!$F$2:$I$50,2,0),"옛날 부서명 확인")</f>
        <v>Spatial Planning and Management Division</v>
      </c>
      <c r="S5" s="23" t="str">
        <f>IFERROR(VLOOKUP($I5,'DB2'!$F$2:$I$50,4,0),"옛날 부서명 확인")</f>
        <v xml:space="preserve">Land and Environment Research Group </v>
      </c>
    </row>
    <row r="6" spans="1:19" ht="22.5" hidden="1" customHeight="1">
      <c r="A6" s="19" t="s">
        <v>50</v>
      </c>
      <c r="B6" s="19" t="s">
        <v>22</v>
      </c>
      <c r="C6" s="19" t="s">
        <v>51</v>
      </c>
      <c r="D6" s="20" t="s">
        <v>52</v>
      </c>
      <c r="E6" s="20"/>
      <c r="F6" s="20" t="s">
        <v>53</v>
      </c>
      <c r="G6" s="19" t="s">
        <v>54</v>
      </c>
      <c r="H6" s="20" t="s">
        <v>27</v>
      </c>
      <c r="I6" s="20" t="s">
        <v>28</v>
      </c>
      <c r="J6" s="21">
        <v>86363630</v>
      </c>
      <c r="K6" s="22">
        <v>45390</v>
      </c>
      <c r="L6" s="22">
        <v>45815</v>
      </c>
      <c r="M6" s="20" t="s">
        <v>49</v>
      </c>
      <c r="N6" s="23" t="s">
        <v>1917</v>
      </c>
      <c r="O6" s="23" t="str">
        <f>IFERROR(VLOOKUP($G6,'DB2'!$A:$B,2,0),"공동과책 확인")</f>
        <v xml:space="preserve">Koo, Kyung Ah </v>
      </c>
      <c r="P6" s="23" t="s">
        <v>1903</v>
      </c>
      <c r="Q6" s="23" t="s">
        <v>1902</v>
      </c>
      <c r="R6" s="23" t="str">
        <f>IFERROR(VLOOKUP($I6,'DB2'!$F$2:$I$50,2,0),"옛날 부서명 확인")</f>
        <v xml:space="preserve">Natural Environment Division </v>
      </c>
      <c r="S6" s="23" t="str">
        <f>IFERROR(VLOOKUP($I6,'DB2'!$F$2:$I$50,4,0),"옛날 부서명 확인")</f>
        <v xml:space="preserve">Land and Environment Research Group </v>
      </c>
    </row>
    <row r="7" spans="1:19" ht="22.5" hidden="1" customHeight="1">
      <c r="A7" s="19" t="s">
        <v>55</v>
      </c>
      <c r="B7" s="19" t="s">
        <v>22</v>
      </c>
      <c r="C7" s="19" t="s">
        <v>56</v>
      </c>
      <c r="D7" s="20" t="s">
        <v>57</v>
      </c>
      <c r="E7" s="20"/>
      <c r="F7" s="20" t="s">
        <v>58</v>
      </c>
      <c r="G7" s="19" t="s">
        <v>59</v>
      </c>
      <c r="H7" s="20" t="s">
        <v>60</v>
      </c>
      <c r="I7" s="20" t="s">
        <v>439</v>
      </c>
      <c r="J7" s="21">
        <v>107955000</v>
      </c>
      <c r="K7" s="22">
        <v>45352</v>
      </c>
      <c r="L7" s="22">
        <v>45716</v>
      </c>
      <c r="M7" s="20" t="s">
        <v>62</v>
      </c>
      <c r="N7" s="23" t="s">
        <v>1918</v>
      </c>
      <c r="O7" s="23" t="str">
        <f>IFERROR(VLOOKUP($G7,'DB2'!$A:$B,2,0),"공동과책 확인")</f>
        <v>Choi, Yuyoung</v>
      </c>
      <c r="P7" s="23" t="s">
        <v>1904</v>
      </c>
      <c r="Q7" s="23" t="s">
        <v>1902</v>
      </c>
      <c r="R7" s="23" t="str">
        <f>IFERROR(VLOOKUP($I7,'DB2'!$F$2:$I$50,2,0),"옛날 부서명 확인")</f>
        <v xml:space="preserve">Land Strategy Assessment Division </v>
      </c>
      <c r="S7" s="23" t="str">
        <f>IFERROR(VLOOKUP($I7,'DB2'!$F$2:$I$50,4,0),"옛날 부서명 확인")</f>
        <v xml:space="preserve">Environmental Assessment Group </v>
      </c>
    </row>
    <row r="8" spans="1:19" ht="22.5" hidden="1" customHeight="1">
      <c r="A8" s="19" t="s">
        <v>63</v>
      </c>
      <c r="B8" s="19" t="s">
        <v>22</v>
      </c>
      <c r="C8" s="19" t="s">
        <v>64</v>
      </c>
      <c r="D8" s="20" t="s">
        <v>65</v>
      </c>
      <c r="E8" s="20"/>
      <c r="F8" s="20" t="s">
        <v>66</v>
      </c>
      <c r="G8" s="19" t="s">
        <v>67</v>
      </c>
      <c r="H8" s="20" t="s">
        <v>68</v>
      </c>
      <c r="I8" s="20" t="s">
        <v>212</v>
      </c>
      <c r="J8" s="21">
        <v>80415000</v>
      </c>
      <c r="K8" s="22">
        <v>45352</v>
      </c>
      <c r="L8" s="22">
        <v>45716</v>
      </c>
      <c r="M8" s="20" t="s">
        <v>62</v>
      </c>
      <c r="N8" s="23" t="s">
        <v>1919</v>
      </c>
      <c r="O8" s="23" t="str">
        <f>IFERROR(VLOOKUP($G8,'DB2'!$A:$B,2,0),"공동과책 확인")</f>
        <v xml:space="preserve">Jung, Kichul </v>
      </c>
      <c r="P8" s="23" t="s">
        <v>1906</v>
      </c>
      <c r="Q8" s="23" t="s">
        <v>1910</v>
      </c>
      <c r="R8" s="23" t="str">
        <f>IFERROR(VLOOKUP($I8,'DB2'!$F$2:$I$50,2,0),"옛날 부서명 확인")</f>
        <v xml:space="preserve">Water Management Division </v>
      </c>
      <c r="S8" s="23" t="str">
        <f>IFERROR(VLOOKUP($I8,'DB2'!$F$2:$I$50,4,0),"옛날 부서명 확인")</f>
        <v xml:space="preserve">Land and Environment Research Group </v>
      </c>
    </row>
    <row r="9" spans="1:19" ht="22.5" hidden="1" customHeight="1">
      <c r="A9" s="19" t="s">
        <v>70</v>
      </c>
      <c r="B9" s="19" t="s">
        <v>22</v>
      </c>
      <c r="C9" s="19" t="s">
        <v>71</v>
      </c>
      <c r="D9" s="20" t="s">
        <v>72</v>
      </c>
      <c r="E9" s="20"/>
      <c r="F9" s="20" t="s">
        <v>73</v>
      </c>
      <c r="G9" s="19" t="s">
        <v>74</v>
      </c>
      <c r="H9" s="20" t="s">
        <v>75</v>
      </c>
      <c r="I9" s="20" t="s">
        <v>76</v>
      </c>
      <c r="J9" s="21">
        <v>458068280</v>
      </c>
      <c r="K9" s="22">
        <v>45349</v>
      </c>
      <c r="L9" s="22">
        <v>46387</v>
      </c>
      <c r="M9" s="20" t="s">
        <v>77</v>
      </c>
      <c r="N9" s="23" t="s">
        <v>1920</v>
      </c>
      <c r="O9" s="23" t="str">
        <f>IFERROR(VLOOKUP($G9,'DB2'!$A:$B,2,0),"공동과책 확인")</f>
        <v>Cho, Hanna</v>
      </c>
      <c r="P9" s="23" t="s">
        <v>1908</v>
      </c>
      <c r="Q9" s="23" t="s">
        <v>1912</v>
      </c>
      <c r="R9" s="23" t="str">
        <f>IFERROR(VLOOKUP($I9,'DB2'!$F$2:$I$50,2,0),"옛날 부서명 확인")</f>
        <v xml:space="preserve">Climate Adaptation Cooperation Division </v>
      </c>
      <c r="S9" s="23" t="str">
        <f>IFERROR(VLOOKUP($I9,'DB2'!$F$2:$I$50,4,0),"옛날 부서명 확인")</f>
        <v xml:space="preserve">Korea Adaptation Center for Climate Change </v>
      </c>
    </row>
    <row r="10" spans="1:19" ht="22.5" hidden="1" customHeight="1">
      <c r="A10" s="19" t="s">
        <v>78</v>
      </c>
      <c r="B10" s="19" t="s">
        <v>22</v>
      </c>
      <c r="C10" s="19" t="s">
        <v>79</v>
      </c>
      <c r="D10" s="20" t="s">
        <v>80</v>
      </c>
      <c r="E10" s="20"/>
      <c r="F10" s="20" t="s">
        <v>46</v>
      </c>
      <c r="G10" s="19" t="s">
        <v>47</v>
      </c>
      <c r="H10" s="20" t="s">
        <v>48</v>
      </c>
      <c r="I10" s="20" t="s">
        <v>222</v>
      </c>
      <c r="J10" s="21">
        <v>180000000</v>
      </c>
      <c r="K10" s="22">
        <v>45371</v>
      </c>
      <c r="L10" s="22">
        <v>45735</v>
      </c>
      <c r="M10" s="20" t="s">
        <v>49</v>
      </c>
      <c r="N10" s="23" t="s">
        <v>1921</v>
      </c>
      <c r="O10" s="23" t="str">
        <f>IFERROR(VLOOKUP($G10,'DB2'!$A:$B,2,0),"공동과책 확인")</f>
        <v>Son, Seungwoo</v>
      </c>
      <c r="P10" s="23" t="s">
        <v>1901</v>
      </c>
      <c r="Q10" s="23" t="s">
        <v>1902</v>
      </c>
      <c r="R10" s="23" t="str">
        <f>IFERROR(VLOOKUP($I10,'DB2'!$F$2:$I$50,2,0),"옛날 부서명 확인")</f>
        <v>Spatial Planning and Management Division</v>
      </c>
      <c r="S10" s="23" t="str">
        <f>IFERROR(VLOOKUP($I10,'DB2'!$F$2:$I$50,4,0),"옛날 부서명 확인")</f>
        <v xml:space="preserve">Land and Environment Research Group </v>
      </c>
    </row>
    <row r="11" spans="1:19" ht="22.5" hidden="1" customHeight="1">
      <c r="A11" s="19" t="s">
        <v>81</v>
      </c>
      <c r="B11" s="19" t="s">
        <v>22</v>
      </c>
      <c r="C11" s="19" t="s">
        <v>82</v>
      </c>
      <c r="D11" s="20" t="s">
        <v>83</v>
      </c>
      <c r="E11" s="20"/>
      <c r="F11" s="20" t="s">
        <v>84</v>
      </c>
      <c r="G11" s="19" t="s">
        <v>85</v>
      </c>
      <c r="H11" s="20" t="s">
        <v>48</v>
      </c>
      <c r="I11" s="20" t="s">
        <v>222</v>
      </c>
      <c r="J11" s="21">
        <v>38863630</v>
      </c>
      <c r="K11" s="22">
        <v>45372</v>
      </c>
      <c r="L11" s="22">
        <v>45671</v>
      </c>
      <c r="M11" s="20" t="s">
        <v>49</v>
      </c>
      <c r="N11" s="23" t="s">
        <v>1922</v>
      </c>
      <c r="O11" s="23" t="str">
        <f>IFERROR(VLOOKUP($G11,'DB2'!$A:$B,2,0),"공동과책 확인")</f>
        <v>Lee, MoungJin</v>
      </c>
      <c r="P11" s="23" t="s">
        <v>1904</v>
      </c>
      <c r="Q11" s="23" t="s">
        <v>1901</v>
      </c>
      <c r="R11" s="23" t="str">
        <f>IFERROR(VLOOKUP($I11,'DB2'!$F$2:$I$50,2,0),"옛날 부서명 확인")</f>
        <v>Spatial Planning and Management Division</v>
      </c>
      <c r="S11" s="23" t="str">
        <f>IFERROR(VLOOKUP($I11,'DB2'!$F$2:$I$50,4,0),"옛날 부서명 확인")</f>
        <v xml:space="preserve">Land and Environment Research Group </v>
      </c>
    </row>
    <row r="12" spans="1:19" ht="22.5" hidden="1" customHeight="1">
      <c r="A12" s="19" t="s">
        <v>86</v>
      </c>
      <c r="B12" s="19" t="s">
        <v>22</v>
      </c>
      <c r="C12" s="19" t="s">
        <v>87</v>
      </c>
      <c r="D12" s="20" t="s">
        <v>88</v>
      </c>
      <c r="E12" s="20"/>
      <c r="F12" s="20" t="s">
        <v>89</v>
      </c>
      <c r="G12" s="19" t="s">
        <v>90</v>
      </c>
      <c r="H12" s="20" t="s">
        <v>91</v>
      </c>
      <c r="I12" s="20" t="s">
        <v>424</v>
      </c>
      <c r="J12" s="21">
        <v>170000000</v>
      </c>
      <c r="K12" s="22">
        <v>45380</v>
      </c>
      <c r="L12" s="22">
        <v>45679</v>
      </c>
      <c r="M12" s="20" t="s">
        <v>92</v>
      </c>
      <c r="N12" s="23" t="s">
        <v>1923</v>
      </c>
      <c r="O12" s="23" t="str">
        <f>IFERROR(VLOOKUP($G12,'DB2'!$A:$B,2,0),"공동과책 확인")</f>
        <v>Kim, Taeyun</v>
      </c>
      <c r="P12" s="23" t="s">
        <v>1907</v>
      </c>
      <c r="Q12" s="23" t="s">
        <v>1913</v>
      </c>
      <c r="R12" s="23" t="str">
        <f>IFERROR(VLOOKUP($I12,'DB2'!$F$2:$I$50,2,0),"옛날 부서명 확인")</f>
        <v xml:space="preserve">Climate and Energy Assessment Division </v>
      </c>
      <c r="S12" s="23" t="str">
        <f>IFERROR(VLOOKUP($I12,'DB2'!$F$2:$I$50,4,0),"옛날 부서명 확인")</f>
        <v xml:space="preserve">Environmental Assessment Group </v>
      </c>
    </row>
    <row r="13" spans="1:19" ht="22.5" hidden="1" customHeight="1">
      <c r="A13" s="19" t="s">
        <v>93</v>
      </c>
      <c r="B13" s="19" t="s">
        <v>22</v>
      </c>
      <c r="C13" s="19" t="s">
        <v>94</v>
      </c>
      <c r="D13" s="20" t="s">
        <v>95</v>
      </c>
      <c r="E13" s="20"/>
      <c r="F13" s="20" t="s">
        <v>96</v>
      </c>
      <c r="G13" s="19" t="s">
        <v>97</v>
      </c>
      <c r="H13" s="20" t="s">
        <v>98</v>
      </c>
      <c r="I13" s="20" t="s">
        <v>212</v>
      </c>
      <c r="J13" s="21">
        <v>90000000</v>
      </c>
      <c r="K13" s="22">
        <v>45399</v>
      </c>
      <c r="L13" s="22">
        <v>45698</v>
      </c>
      <c r="M13" s="20" t="s">
        <v>49</v>
      </c>
      <c r="N13" s="23" t="s">
        <v>1924</v>
      </c>
      <c r="O13" s="23" t="str">
        <f>IFERROR(VLOOKUP($G13,'DB2'!$A:$B,2,0),"공동과책 확인")</f>
        <v>Kim, Ikjae</v>
      </c>
      <c r="P13" s="23" t="s">
        <v>1906</v>
      </c>
      <c r="Q13" s="23" t="s">
        <v>1912</v>
      </c>
      <c r="R13" s="23" t="str">
        <f>IFERROR(VLOOKUP($I13,'DB2'!$F$2:$I$50,2,0),"옛날 부서명 확인")</f>
        <v xml:space="preserve">Water Management Division </v>
      </c>
      <c r="S13" s="23" t="str">
        <f>IFERROR(VLOOKUP($I13,'DB2'!$F$2:$I$50,4,0),"옛날 부서명 확인")</f>
        <v xml:space="preserve">Land and Environment Research Group </v>
      </c>
    </row>
    <row r="14" spans="1:19" ht="22.5" hidden="1" customHeight="1">
      <c r="A14" s="19" t="s">
        <v>100</v>
      </c>
      <c r="B14" s="19" t="s">
        <v>22</v>
      </c>
      <c r="C14" s="19" t="s">
        <v>101</v>
      </c>
      <c r="D14" s="20" t="s">
        <v>102</v>
      </c>
      <c r="E14" s="20"/>
      <c r="F14" s="20" t="s">
        <v>103</v>
      </c>
      <c r="G14" s="19" t="s">
        <v>104</v>
      </c>
      <c r="H14" s="20" t="s">
        <v>105</v>
      </c>
      <c r="I14" s="20" t="s">
        <v>353</v>
      </c>
      <c r="J14" s="21">
        <v>86363630</v>
      </c>
      <c r="K14" s="22">
        <v>45400</v>
      </c>
      <c r="L14" s="22">
        <v>45669</v>
      </c>
      <c r="M14" s="20" t="s">
        <v>49</v>
      </c>
      <c r="N14" s="23" t="s">
        <v>1925</v>
      </c>
      <c r="O14" s="23" t="str">
        <f>IFERROR(VLOOKUP($G14,'DB2'!$A:$B,2,0),"공동과책 확인")</f>
        <v>Kang, Sungwon</v>
      </c>
      <c r="P14" s="23" t="s">
        <v>1910</v>
      </c>
      <c r="Q14" s="23"/>
      <c r="R14" s="23" t="str">
        <f>IFERROR(VLOOKUP($I14,'DB2'!$F$2:$I$50,2,0),"옛날 부서명 확인")</f>
        <v xml:space="preserve">Green Economy Division </v>
      </c>
      <c r="S14" s="23" t="str">
        <f>IFERROR(VLOOKUP($I14,'DB2'!$F$2:$I$50,4,0),"옛날 부서명 확인")</f>
        <v xml:space="preserve">Climate and Atmospheric Strategy Research Group  </v>
      </c>
    </row>
    <row r="15" spans="1:19" ht="22.5" hidden="1" customHeight="1">
      <c r="A15" s="19" t="s">
        <v>106</v>
      </c>
      <c r="B15" s="19" t="s">
        <v>22</v>
      </c>
      <c r="C15" s="19" t="s">
        <v>107</v>
      </c>
      <c r="D15" s="20" t="s">
        <v>108</v>
      </c>
      <c r="E15" s="20"/>
      <c r="F15" s="20" t="s">
        <v>46</v>
      </c>
      <c r="G15" s="19" t="s">
        <v>47</v>
      </c>
      <c r="H15" s="20" t="s">
        <v>48</v>
      </c>
      <c r="I15" s="20" t="s">
        <v>222</v>
      </c>
      <c r="J15" s="21">
        <v>95950000</v>
      </c>
      <c r="K15" s="22">
        <v>45408</v>
      </c>
      <c r="L15" s="22">
        <v>45772</v>
      </c>
      <c r="M15" s="20" t="s">
        <v>109</v>
      </c>
      <c r="N15" s="23" t="s">
        <v>1926</v>
      </c>
      <c r="O15" s="23" t="str">
        <f>IFERROR(VLOOKUP($G15,'DB2'!$A:$B,2,0),"공동과책 확인")</f>
        <v>Son, Seungwoo</v>
      </c>
      <c r="P15" s="23" t="s">
        <v>1901</v>
      </c>
      <c r="Q15" s="23" t="s">
        <v>1902</v>
      </c>
      <c r="R15" s="23" t="str">
        <f>IFERROR(VLOOKUP($I15,'DB2'!$F$2:$I$50,2,0),"옛날 부서명 확인")</f>
        <v>Spatial Planning and Management Division</v>
      </c>
      <c r="S15" s="23" t="str">
        <f>IFERROR(VLOOKUP($I15,'DB2'!$F$2:$I$50,4,0),"옛날 부서명 확인")</f>
        <v xml:space="preserve">Land and Environment Research Group </v>
      </c>
    </row>
    <row r="16" spans="1:19" ht="22.5" hidden="1" customHeight="1">
      <c r="A16" s="19" t="s">
        <v>110</v>
      </c>
      <c r="B16" s="19" t="s">
        <v>22</v>
      </c>
      <c r="C16" s="19" t="s">
        <v>111</v>
      </c>
      <c r="D16" s="20" t="s">
        <v>112</v>
      </c>
      <c r="E16" s="20"/>
      <c r="F16" s="20" t="s">
        <v>103</v>
      </c>
      <c r="G16" s="19" t="s">
        <v>104</v>
      </c>
      <c r="H16" s="20" t="s">
        <v>105</v>
      </c>
      <c r="I16" s="20" t="s">
        <v>353</v>
      </c>
      <c r="J16" s="21">
        <v>191545450</v>
      </c>
      <c r="K16" s="22">
        <v>45383</v>
      </c>
      <c r="L16" s="22">
        <v>45777</v>
      </c>
      <c r="M16" s="20" t="s">
        <v>113</v>
      </c>
      <c r="N16" s="23" t="s">
        <v>1927</v>
      </c>
      <c r="O16" s="23" t="str">
        <f>IFERROR(VLOOKUP($G16,'DB2'!$A:$B,2,0),"공동과책 확인")</f>
        <v>Kang, Sungwon</v>
      </c>
      <c r="P16" s="23" t="s">
        <v>1903</v>
      </c>
      <c r="Q16" s="23" t="s">
        <v>1905</v>
      </c>
      <c r="R16" s="23" t="str">
        <f>IFERROR(VLOOKUP($I16,'DB2'!$F$2:$I$50,2,0),"옛날 부서명 확인")</f>
        <v xml:space="preserve">Green Economy Division </v>
      </c>
      <c r="S16" s="23" t="str">
        <f>IFERROR(VLOOKUP($I16,'DB2'!$F$2:$I$50,4,0),"옛날 부서명 확인")</f>
        <v xml:space="preserve">Climate and Atmospheric Strategy Research Group  </v>
      </c>
    </row>
    <row r="17" spans="1:19" ht="22.5" hidden="1" customHeight="1">
      <c r="A17" s="19" t="s">
        <v>114</v>
      </c>
      <c r="B17" s="19" t="s">
        <v>22</v>
      </c>
      <c r="C17" s="19" t="s">
        <v>115</v>
      </c>
      <c r="D17" s="20" t="s">
        <v>116</v>
      </c>
      <c r="E17" s="20"/>
      <c r="F17" s="20" t="s">
        <v>117</v>
      </c>
      <c r="G17" s="19" t="s">
        <v>118</v>
      </c>
      <c r="H17" s="20" t="s">
        <v>27</v>
      </c>
      <c r="I17" s="20" t="s">
        <v>28</v>
      </c>
      <c r="J17" s="21">
        <v>50500000</v>
      </c>
      <c r="K17" s="22">
        <v>45413</v>
      </c>
      <c r="L17" s="22">
        <v>45714</v>
      </c>
      <c r="M17" s="20" t="s">
        <v>49</v>
      </c>
      <c r="N17" s="23" t="s">
        <v>1928</v>
      </c>
      <c r="O17" s="23" t="str">
        <f>IFERROR(VLOOKUP($G17,'DB2'!$A:$B,2,0),"공동과책 확인")</f>
        <v>Myeong, Soojeong</v>
      </c>
      <c r="P17" s="23" t="s">
        <v>1912</v>
      </c>
      <c r="Q17" s="23"/>
      <c r="R17" s="23" t="str">
        <f>IFERROR(VLOOKUP($I17,'DB2'!$F$2:$I$50,2,0),"옛날 부서명 확인")</f>
        <v xml:space="preserve">Natural Environment Division </v>
      </c>
      <c r="S17" s="23" t="str">
        <f>IFERROR(VLOOKUP($I17,'DB2'!$F$2:$I$50,4,0),"옛날 부서명 확인")</f>
        <v xml:space="preserve">Land and Environment Research Group </v>
      </c>
    </row>
    <row r="18" spans="1:19" ht="22.5" hidden="1" customHeight="1">
      <c r="A18" s="19" t="s">
        <v>119</v>
      </c>
      <c r="B18" s="19" t="s">
        <v>22</v>
      </c>
      <c r="C18" s="19" t="s">
        <v>120</v>
      </c>
      <c r="D18" s="20" t="s">
        <v>121</v>
      </c>
      <c r="E18" s="20"/>
      <c r="F18" s="20" t="s">
        <v>122</v>
      </c>
      <c r="G18" s="19" t="s">
        <v>123</v>
      </c>
      <c r="H18" s="20" t="s">
        <v>105</v>
      </c>
      <c r="I18" s="20" t="s">
        <v>269</v>
      </c>
      <c r="J18" s="21">
        <v>136363630</v>
      </c>
      <c r="K18" s="22">
        <v>45415</v>
      </c>
      <c r="L18" s="22">
        <v>45747</v>
      </c>
      <c r="M18" s="20" t="s">
        <v>124</v>
      </c>
      <c r="N18" s="23" t="s">
        <v>1929</v>
      </c>
      <c r="O18" s="23" t="str">
        <f>IFERROR(VLOOKUP($G18,'DB2'!$A:$B,2,0),"공동과책 확인")</f>
        <v>Kim, Jongho</v>
      </c>
      <c r="P18" s="23" t="s">
        <v>1910</v>
      </c>
      <c r="Q18" s="23" t="s">
        <v>1904</v>
      </c>
      <c r="R18" s="23" t="str">
        <f>IFERROR(VLOOKUP($I18,'DB2'!$F$2:$I$50,2,0),"옛날 부서명 확인")</f>
        <v xml:space="preserve">Circular Economy Division </v>
      </c>
      <c r="S18" s="23" t="str">
        <f>IFERROR(VLOOKUP($I18,'DB2'!$F$2:$I$50,4,0),"옛날 부서명 확인")</f>
        <v xml:space="preserve">Sustainable Development Research Group  </v>
      </c>
    </row>
    <row r="19" spans="1:19" ht="22.5" hidden="1" customHeight="1">
      <c r="A19" s="19" t="s">
        <v>125</v>
      </c>
      <c r="B19" s="19" t="s">
        <v>22</v>
      </c>
      <c r="C19" s="19" t="s">
        <v>126</v>
      </c>
      <c r="D19" s="20" t="s">
        <v>127</v>
      </c>
      <c r="E19" s="20"/>
      <c r="F19" s="20" t="s">
        <v>128</v>
      </c>
      <c r="G19" s="19" t="s">
        <v>129</v>
      </c>
      <c r="H19" s="20" t="s">
        <v>130</v>
      </c>
      <c r="I19" s="20" t="s">
        <v>131</v>
      </c>
      <c r="J19" s="21">
        <v>80181810</v>
      </c>
      <c r="K19" s="22">
        <v>45441</v>
      </c>
      <c r="L19" s="22">
        <v>45738</v>
      </c>
      <c r="M19" s="20" t="s">
        <v>132</v>
      </c>
      <c r="N19" s="23" t="s">
        <v>1930</v>
      </c>
      <c r="O19" s="23" t="str">
        <f>IFERROR(VLOOKUP($G19,'DB2'!$A:$B,2,0),"공동과책 확인")</f>
        <v>Kim, Sungjin</v>
      </c>
      <c r="P19" s="23" t="s">
        <v>1913</v>
      </c>
      <c r="Q19" s="23" t="s">
        <v>1904</v>
      </c>
      <c r="R19" s="23" t="str">
        <f>IFERROR(VLOOKUP($I19,'DB2'!$F$2:$I$50,2,0),"옛날 부서명 확인")</f>
        <v xml:space="preserve">Carbon Neutrality Division </v>
      </c>
      <c r="S19" s="23" t="str">
        <f>IFERROR(VLOOKUP($I19,'DB2'!$F$2:$I$50,4,0),"옛날 부서명 확인")</f>
        <v xml:space="preserve">Climate and Atmospheric Strategy Research Group  </v>
      </c>
    </row>
    <row r="20" spans="1:19" ht="22.5" hidden="1" customHeight="1">
      <c r="A20" s="19" t="s">
        <v>133</v>
      </c>
      <c r="B20" s="19" t="s">
        <v>22</v>
      </c>
      <c r="C20" s="19" t="s">
        <v>134</v>
      </c>
      <c r="D20" s="20" t="s">
        <v>135</v>
      </c>
      <c r="E20" s="20"/>
      <c r="F20" s="20" t="s">
        <v>136</v>
      </c>
      <c r="G20" s="19" t="s">
        <v>137</v>
      </c>
      <c r="H20" s="20" t="s">
        <v>98</v>
      </c>
      <c r="I20" s="20" t="s">
        <v>212</v>
      </c>
      <c r="J20" s="21">
        <v>86418180</v>
      </c>
      <c r="K20" s="22">
        <v>45446</v>
      </c>
      <c r="L20" s="22">
        <v>45716</v>
      </c>
      <c r="M20" s="20" t="s">
        <v>138</v>
      </c>
      <c r="N20" s="23" t="s">
        <v>1931</v>
      </c>
      <c r="O20" s="23" t="str">
        <f>IFERROR(VLOOKUP($G20,'DB2'!$A:$B,2,0),"공동과책 확인")</f>
        <v>Han, Daeho</v>
      </c>
      <c r="P20" s="23" t="s">
        <v>1906</v>
      </c>
      <c r="Q20" s="23" t="s">
        <v>1900</v>
      </c>
      <c r="R20" s="23" t="str">
        <f>IFERROR(VLOOKUP($I20,'DB2'!$F$2:$I$50,2,0),"옛날 부서명 확인")</f>
        <v xml:space="preserve">Water Management Division </v>
      </c>
      <c r="S20" s="23" t="str">
        <f>IFERROR(VLOOKUP($I20,'DB2'!$F$2:$I$50,4,0),"옛날 부서명 확인")</f>
        <v xml:space="preserve">Land and Environment Research Group </v>
      </c>
    </row>
    <row r="21" spans="1:19" ht="22.5" hidden="1" customHeight="1">
      <c r="A21" s="19" t="s">
        <v>139</v>
      </c>
      <c r="B21" s="19" t="s">
        <v>22</v>
      </c>
      <c r="C21" s="19" t="s">
        <v>140</v>
      </c>
      <c r="D21" s="20" t="s">
        <v>141</v>
      </c>
      <c r="E21" s="20"/>
      <c r="F21" s="20" t="s">
        <v>142</v>
      </c>
      <c r="G21" s="19" t="s">
        <v>143</v>
      </c>
      <c r="H21" s="20" t="s">
        <v>144</v>
      </c>
      <c r="I21" s="20" t="s">
        <v>439</v>
      </c>
      <c r="J21" s="21">
        <v>39750000</v>
      </c>
      <c r="K21" s="22">
        <v>45447</v>
      </c>
      <c r="L21" s="22">
        <v>45716</v>
      </c>
      <c r="M21" s="20" t="s">
        <v>146</v>
      </c>
      <c r="N21" s="23" t="s">
        <v>1932</v>
      </c>
      <c r="O21" s="23" t="str">
        <f>IFERROR(VLOOKUP($G21,'DB2'!$A:$B,2,0),"공동과책 확인")</f>
        <v>Yi, Youngjae</v>
      </c>
      <c r="P21" s="23" t="s">
        <v>1907</v>
      </c>
      <c r="Q21" s="23" t="s">
        <v>1901</v>
      </c>
      <c r="R21" s="23" t="str">
        <f>IFERROR(VLOOKUP($I21,'DB2'!$F$2:$I$50,2,0),"옛날 부서명 확인")</f>
        <v xml:space="preserve">Land Strategy Assessment Division </v>
      </c>
      <c r="S21" s="23" t="str">
        <f>IFERROR(VLOOKUP($I21,'DB2'!$F$2:$I$50,4,0),"옛날 부서명 확인")</f>
        <v xml:space="preserve">Environmental Assessment Group </v>
      </c>
    </row>
    <row r="22" spans="1:19" ht="22.5" hidden="1" customHeight="1">
      <c r="A22" s="19" t="s">
        <v>147</v>
      </c>
      <c r="B22" s="19" t="s">
        <v>22</v>
      </c>
      <c r="C22" s="19" t="s">
        <v>148</v>
      </c>
      <c r="D22" s="20" t="s">
        <v>149</v>
      </c>
      <c r="E22" s="20"/>
      <c r="F22" s="20" t="s">
        <v>136</v>
      </c>
      <c r="G22" s="19" t="s">
        <v>137</v>
      </c>
      <c r="H22" s="20" t="s">
        <v>98</v>
      </c>
      <c r="I22" s="20" t="s">
        <v>212</v>
      </c>
      <c r="J22" s="21">
        <v>81818180</v>
      </c>
      <c r="K22" s="22">
        <v>45456</v>
      </c>
      <c r="L22" s="22">
        <v>45807</v>
      </c>
      <c r="M22" s="20" t="s">
        <v>49</v>
      </c>
      <c r="N22" s="23" t="s">
        <v>1933</v>
      </c>
      <c r="O22" s="23" t="str">
        <f>IFERROR(VLOOKUP($G22,'DB2'!$A:$B,2,0),"공동과책 확인")</f>
        <v>Han, Daeho</v>
      </c>
      <c r="P22" s="23" t="s">
        <v>1906</v>
      </c>
      <c r="Q22" s="23" t="s">
        <v>1903</v>
      </c>
      <c r="R22" s="23" t="str">
        <f>IFERROR(VLOOKUP($I22,'DB2'!$F$2:$I$50,2,0),"옛날 부서명 확인")</f>
        <v xml:space="preserve">Water Management Division </v>
      </c>
      <c r="S22" s="23" t="str">
        <f>IFERROR(VLOOKUP($I22,'DB2'!$F$2:$I$50,4,0),"옛날 부서명 확인")</f>
        <v xml:space="preserve">Land and Environment Research Group </v>
      </c>
    </row>
    <row r="23" spans="1:19" ht="22.5" hidden="1" customHeight="1">
      <c r="A23" s="19" t="s">
        <v>150</v>
      </c>
      <c r="B23" s="19" t="s">
        <v>22</v>
      </c>
      <c r="C23" s="19" t="s">
        <v>151</v>
      </c>
      <c r="D23" s="20" t="s">
        <v>152</v>
      </c>
      <c r="E23" s="20"/>
      <c r="F23" s="20" t="s">
        <v>153</v>
      </c>
      <c r="G23" s="19" t="s">
        <v>154</v>
      </c>
      <c r="H23" s="20" t="s">
        <v>155</v>
      </c>
      <c r="I23" s="20" t="s">
        <v>560</v>
      </c>
      <c r="J23" s="21">
        <v>150054000</v>
      </c>
      <c r="K23" s="22">
        <v>45456</v>
      </c>
      <c r="L23" s="22">
        <v>45747</v>
      </c>
      <c r="M23" s="20" t="s">
        <v>157</v>
      </c>
      <c r="N23" s="23" t="s">
        <v>1934</v>
      </c>
      <c r="O23" s="23" t="str">
        <f>IFERROR(VLOOKUP($G23,'DB2'!$A:$B,2,0),"공동과책 확인")</f>
        <v>Suh, Yang-won</v>
      </c>
      <c r="P23" s="23" t="s">
        <v>1903</v>
      </c>
      <c r="Q23" s="23" t="s">
        <v>1908</v>
      </c>
      <c r="R23" s="23" t="str">
        <f>IFERROR(VLOOKUP($I23,'DB2'!$F$2:$I$50,2,0),"옛날 부서명 확인")</f>
        <v xml:space="preserve">Sustainable Development Research Group  </v>
      </c>
      <c r="S23" s="23" t="str">
        <f>IFERROR(VLOOKUP($I23,'DB2'!$F$2:$I$50,4,0),"옛날 부서명 확인")</f>
        <v xml:space="preserve">Sustainable Development Research Group  </v>
      </c>
    </row>
    <row r="24" spans="1:19" ht="22.5" hidden="1" customHeight="1">
      <c r="A24" s="19" t="s">
        <v>158</v>
      </c>
      <c r="B24" s="19" t="s">
        <v>22</v>
      </c>
      <c r="C24" s="19" t="s">
        <v>159</v>
      </c>
      <c r="D24" s="20" t="s">
        <v>160</v>
      </c>
      <c r="E24" s="20"/>
      <c r="F24" s="20" t="s">
        <v>161</v>
      </c>
      <c r="G24" s="19" t="s">
        <v>162</v>
      </c>
      <c r="H24" s="20" t="s">
        <v>130</v>
      </c>
      <c r="I24" s="20" t="s">
        <v>131</v>
      </c>
      <c r="J24" s="21">
        <v>59363430</v>
      </c>
      <c r="K24" s="22">
        <v>45488</v>
      </c>
      <c r="L24" s="22">
        <v>45730</v>
      </c>
      <c r="M24" s="20" t="s">
        <v>163</v>
      </c>
      <c r="N24" s="23" t="s">
        <v>1935</v>
      </c>
      <c r="O24" s="23" t="str">
        <f>IFERROR(VLOOKUP($G24,'DB2'!$A:$B,2,0),"공동과책 확인")</f>
        <v>Lee, Jeongeun</v>
      </c>
      <c r="P24" s="23" t="s">
        <v>1913</v>
      </c>
      <c r="Q24" s="23" t="s">
        <v>1910</v>
      </c>
      <c r="R24" s="23" t="str">
        <f>IFERROR(VLOOKUP($I24,'DB2'!$F$2:$I$50,2,0),"옛날 부서명 확인")</f>
        <v xml:space="preserve">Carbon Neutrality Division </v>
      </c>
      <c r="S24" s="23" t="str">
        <f>IFERROR(VLOOKUP($I24,'DB2'!$F$2:$I$50,4,0),"옛날 부서명 확인")</f>
        <v xml:space="preserve">Climate and Atmospheric Strategy Research Group  </v>
      </c>
    </row>
    <row r="25" spans="1:19" ht="22.5" hidden="1" customHeight="1">
      <c r="A25" s="19" t="s">
        <v>164</v>
      </c>
      <c r="B25" s="19" t="s">
        <v>22</v>
      </c>
      <c r="C25" s="19" t="s">
        <v>165</v>
      </c>
      <c r="D25" s="20" t="s">
        <v>166</v>
      </c>
      <c r="E25" s="20"/>
      <c r="F25" s="20" t="s">
        <v>167</v>
      </c>
      <c r="G25" s="19" t="s">
        <v>168</v>
      </c>
      <c r="H25" s="20" t="s">
        <v>48</v>
      </c>
      <c r="I25" s="20" t="s">
        <v>642</v>
      </c>
      <c r="J25" s="21">
        <v>69280000</v>
      </c>
      <c r="K25" s="22">
        <v>45488</v>
      </c>
      <c r="L25" s="22">
        <v>45747</v>
      </c>
      <c r="M25" s="20" t="s">
        <v>49</v>
      </c>
      <c r="N25" s="23" t="s">
        <v>1936</v>
      </c>
      <c r="O25" s="23" t="str">
        <f>IFERROR(VLOOKUP($G25,'DB2'!$A:$B,2,0),"공동과책 확인")</f>
        <v>Park, Chang Sug</v>
      </c>
      <c r="P25" s="23" t="s">
        <v>1901</v>
      </c>
      <c r="Q25" s="23" t="s">
        <v>1911</v>
      </c>
      <c r="R25" s="23" t="str">
        <f>IFERROR(VLOOKUP($I25,'DB2'!$F$2:$I$50,2,0),"옛날 부서명 확인")</f>
        <v>Executive Office</v>
      </c>
      <c r="S25" s="23" t="str">
        <f>IFERROR(VLOOKUP($I25,'DB2'!$F$2:$I$50,4,0),"옛날 부서명 확인")</f>
        <v>Executive Office</v>
      </c>
    </row>
    <row r="26" spans="1:19" ht="22.5" hidden="1" customHeight="1">
      <c r="A26" s="19" t="s">
        <v>169</v>
      </c>
      <c r="B26" s="19" t="s">
        <v>22</v>
      </c>
      <c r="C26" s="19" t="s">
        <v>170</v>
      </c>
      <c r="D26" s="20" t="s">
        <v>171</v>
      </c>
      <c r="E26" s="20"/>
      <c r="F26" s="20" t="s">
        <v>167</v>
      </c>
      <c r="G26" s="19" t="s">
        <v>168</v>
      </c>
      <c r="H26" s="20" t="s">
        <v>48</v>
      </c>
      <c r="I26" s="20" t="s">
        <v>642</v>
      </c>
      <c r="J26" s="21">
        <v>79025000</v>
      </c>
      <c r="K26" s="22">
        <v>45488</v>
      </c>
      <c r="L26" s="22">
        <v>45747</v>
      </c>
      <c r="M26" s="20" t="s">
        <v>172</v>
      </c>
      <c r="N26" s="23" t="s">
        <v>1937</v>
      </c>
      <c r="O26" s="23" t="str">
        <f>IFERROR(VLOOKUP($G26,'DB2'!$A:$B,2,0),"공동과책 확인")</f>
        <v>Park, Chang Sug</v>
      </c>
      <c r="P26" s="23" t="s">
        <v>1913</v>
      </c>
      <c r="Q26" s="23" t="s">
        <v>1901</v>
      </c>
      <c r="R26" s="23" t="str">
        <f>IFERROR(VLOOKUP($I26,'DB2'!$F$2:$I$50,2,0),"옛날 부서명 확인")</f>
        <v>Executive Office</v>
      </c>
      <c r="S26" s="23" t="str">
        <f>IFERROR(VLOOKUP($I26,'DB2'!$F$2:$I$50,4,0),"옛날 부서명 확인")</f>
        <v>Executive Office</v>
      </c>
    </row>
    <row r="27" spans="1:19" ht="22.5" hidden="1" customHeight="1">
      <c r="A27" s="19" t="s">
        <v>173</v>
      </c>
      <c r="B27" s="19" t="s">
        <v>22</v>
      </c>
      <c r="C27" s="19" t="s">
        <v>174</v>
      </c>
      <c r="D27" s="20" t="s">
        <v>175</v>
      </c>
      <c r="E27" s="20"/>
      <c r="F27" s="20" t="s">
        <v>46</v>
      </c>
      <c r="G27" s="19" t="s">
        <v>47</v>
      </c>
      <c r="H27" s="20" t="s">
        <v>48</v>
      </c>
      <c r="I27" s="20" t="s">
        <v>222</v>
      </c>
      <c r="J27" s="21">
        <v>72270000</v>
      </c>
      <c r="K27" s="22">
        <v>45495</v>
      </c>
      <c r="L27" s="22">
        <v>45734</v>
      </c>
      <c r="M27" s="20" t="s">
        <v>49</v>
      </c>
      <c r="N27" s="23" t="s">
        <v>1938</v>
      </c>
      <c r="O27" s="23" t="str">
        <f>IFERROR(VLOOKUP($G27,'DB2'!$A:$B,2,0),"공동과책 확인")</f>
        <v>Son, Seungwoo</v>
      </c>
      <c r="P27" s="23" t="s">
        <v>1901</v>
      </c>
      <c r="Q27" s="23" t="s">
        <v>1902</v>
      </c>
      <c r="R27" s="23" t="str">
        <f>IFERROR(VLOOKUP($I27,'DB2'!$F$2:$I$50,2,0),"옛날 부서명 확인")</f>
        <v>Spatial Planning and Management Division</v>
      </c>
      <c r="S27" s="23" t="str">
        <f>IFERROR(VLOOKUP($I27,'DB2'!$F$2:$I$50,4,0),"옛날 부서명 확인")</f>
        <v xml:space="preserve">Land and Environment Research Group </v>
      </c>
    </row>
    <row r="28" spans="1:19" ht="22.5" hidden="1" customHeight="1">
      <c r="A28" s="19" t="s">
        <v>176</v>
      </c>
      <c r="B28" s="19" t="s">
        <v>22</v>
      </c>
      <c r="C28" s="19" t="s">
        <v>177</v>
      </c>
      <c r="D28" s="20" t="s">
        <v>178</v>
      </c>
      <c r="E28" s="20"/>
      <c r="F28" s="20" t="s">
        <v>53</v>
      </c>
      <c r="G28" s="19" t="s">
        <v>54</v>
      </c>
      <c r="H28" s="20" t="s">
        <v>27</v>
      </c>
      <c r="I28" s="20" t="s">
        <v>28</v>
      </c>
      <c r="J28" s="21">
        <v>68100000</v>
      </c>
      <c r="K28" s="22">
        <v>45502</v>
      </c>
      <c r="L28" s="22">
        <v>45744</v>
      </c>
      <c r="M28" s="20" t="s">
        <v>179</v>
      </c>
      <c r="N28" s="23" t="s">
        <v>1939</v>
      </c>
      <c r="O28" s="23" t="str">
        <f>IFERROR(VLOOKUP($G28,'DB2'!$A:$B,2,0),"공동과책 확인")</f>
        <v xml:space="preserve">Koo, Kyung Ah </v>
      </c>
      <c r="P28" s="23" t="s">
        <v>1902</v>
      </c>
      <c r="Q28" s="23" t="s">
        <v>1912</v>
      </c>
      <c r="R28" s="23" t="str">
        <f>IFERROR(VLOOKUP($I28,'DB2'!$F$2:$I$50,2,0),"옛날 부서명 확인")</f>
        <v xml:space="preserve">Natural Environment Division </v>
      </c>
      <c r="S28" s="23" t="str">
        <f>IFERROR(VLOOKUP($I28,'DB2'!$F$2:$I$50,4,0),"옛날 부서명 확인")</f>
        <v xml:space="preserve">Land and Environment Research Group </v>
      </c>
    </row>
    <row r="29" spans="1:19" ht="22.5" hidden="1" customHeight="1">
      <c r="A29" s="19" t="s">
        <v>180</v>
      </c>
      <c r="B29" s="19" t="s">
        <v>22</v>
      </c>
      <c r="C29" s="19" t="s">
        <v>181</v>
      </c>
      <c r="D29" s="20" t="s">
        <v>182</v>
      </c>
      <c r="E29" s="20"/>
      <c r="F29" s="20" t="s">
        <v>84</v>
      </c>
      <c r="G29" s="19" t="s">
        <v>85</v>
      </c>
      <c r="H29" s="20" t="s">
        <v>48</v>
      </c>
      <c r="I29" s="20" t="s">
        <v>222</v>
      </c>
      <c r="J29" s="21">
        <v>80589750</v>
      </c>
      <c r="K29" s="22">
        <v>45498</v>
      </c>
      <c r="L29" s="22">
        <v>45672</v>
      </c>
      <c r="M29" s="20" t="s">
        <v>183</v>
      </c>
      <c r="N29" s="23" t="s">
        <v>1940</v>
      </c>
      <c r="O29" s="23" t="str">
        <f>IFERROR(VLOOKUP($G29,'DB2'!$A:$B,2,0),"공동과책 확인")</f>
        <v>Lee, MoungJin</v>
      </c>
      <c r="P29" s="23" t="s">
        <v>1906</v>
      </c>
      <c r="Q29" s="23" t="s">
        <v>1904</v>
      </c>
      <c r="R29" s="23" t="str">
        <f>IFERROR(VLOOKUP($I29,'DB2'!$F$2:$I$50,2,0),"옛날 부서명 확인")</f>
        <v>Spatial Planning and Management Division</v>
      </c>
      <c r="S29" s="23" t="str">
        <f>IFERROR(VLOOKUP($I29,'DB2'!$F$2:$I$50,4,0),"옛날 부서명 확인")</f>
        <v xml:space="preserve">Land and Environment Research Group </v>
      </c>
    </row>
    <row r="30" spans="1:19" ht="22.5" hidden="1" customHeight="1">
      <c r="A30" s="19" t="s">
        <v>184</v>
      </c>
      <c r="B30" s="19" t="s">
        <v>22</v>
      </c>
      <c r="C30" s="19" t="s">
        <v>185</v>
      </c>
      <c r="D30" s="20" t="s">
        <v>186</v>
      </c>
      <c r="E30" s="20"/>
      <c r="F30" s="20" t="s">
        <v>187</v>
      </c>
      <c r="G30" s="19" t="s">
        <v>188</v>
      </c>
      <c r="H30" s="20" t="s">
        <v>98</v>
      </c>
      <c r="I30" s="20" t="s">
        <v>465</v>
      </c>
      <c r="J30" s="21">
        <v>87895342</v>
      </c>
      <c r="K30" s="22">
        <v>45499</v>
      </c>
      <c r="L30" s="22">
        <v>45678</v>
      </c>
      <c r="M30" s="20" t="s">
        <v>189</v>
      </c>
      <c r="N30" s="23" t="s">
        <v>1941</v>
      </c>
      <c r="O30" s="23" t="str">
        <f>IFERROR(VLOOKUP($G30,'DB2'!$A:$B,2,0),"공동과책 확인")</f>
        <v>Kang, Hyeongsik</v>
      </c>
      <c r="P30" s="23" t="s">
        <v>1906</v>
      </c>
      <c r="Q30" s="23" t="s">
        <v>1909</v>
      </c>
      <c r="R30" s="23" t="str">
        <f>IFERROR(VLOOKUP($I30,'DB2'!$F$2:$I$50,2,0),"옛날 부서명 확인")</f>
        <v xml:space="preserve">Land and Environment Research Group </v>
      </c>
      <c r="S30" s="23" t="str">
        <f>IFERROR(VLOOKUP($I30,'DB2'!$F$2:$I$50,4,0),"옛날 부서명 확인")</f>
        <v xml:space="preserve">Land and Environment Research Group </v>
      </c>
    </row>
    <row r="31" spans="1:19" ht="22.5" hidden="1" customHeight="1">
      <c r="A31" s="19" t="s">
        <v>190</v>
      </c>
      <c r="B31" s="19" t="s">
        <v>22</v>
      </c>
      <c r="C31" s="19" t="s">
        <v>191</v>
      </c>
      <c r="D31" s="20" t="s">
        <v>192</v>
      </c>
      <c r="E31" s="20"/>
      <c r="F31" s="20" t="s">
        <v>193</v>
      </c>
      <c r="G31" s="19" t="s">
        <v>194</v>
      </c>
      <c r="H31" s="20" t="s">
        <v>105</v>
      </c>
      <c r="I31" s="20" t="s">
        <v>353</v>
      </c>
      <c r="J31" s="21">
        <v>91241000</v>
      </c>
      <c r="K31" s="22">
        <v>45509</v>
      </c>
      <c r="L31" s="22">
        <v>45873</v>
      </c>
      <c r="M31" s="20" t="s">
        <v>49</v>
      </c>
      <c r="N31" s="23" t="s">
        <v>1942</v>
      </c>
      <c r="O31" s="23" t="str">
        <f>IFERROR(VLOOKUP($G31,'DB2'!$A:$B,2,0),"공동과책 확인")</f>
        <v>Kim, Hyunno</v>
      </c>
      <c r="P31" s="23" t="s">
        <v>1910</v>
      </c>
      <c r="Q31" s="23" t="s">
        <v>1911</v>
      </c>
      <c r="R31" s="23" t="str">
        <f>IFERROR(VLOOKUP($I31,'DB2'!$F$2:$I$50,2,0),"옛날 부서명 확인")</f>
        <v xml:space="preserve">Green Economy Division </v>
      </c>
      <c r="S31" s="23" t="str">
        <f>IFERROR(VLOOKUP($I31,'DB2'!$F$2:$I$50,4,0),"옛날 부서명 확인")</f>
        <v xml:space="preserve">Climate and Atmospheric Strategy Research Group  </v>
      </c>
    </row>
    <row r="32" spans="1:19" ht="22.5" hidden="1" customHeight="1">
      <c r="A32" s="19" t="s">
        <v>195</v>
      </c>
      <c r="B32" s="19" t="s">
        <v>22</v>
      </c>
      <c r="C32" s="19" t="s">
        <v>196</v>
      </c>
      <c r="D32" s="20" t="s">
        <v>197</v>
      </c>
      <c r="E32" s="20"/>
      <c r="F32" s="20" t="s">
        <v>53</v>
      </c>
      <c r="G32" s="19" t="s">
        <v>54</v>
      </c>
      <c r="H32" s="20" t="s">
        <v>27</v>
      </c>
      <c r="I32" s="20" t="s">
        <v>28</v>
      </c>
      <c r="J32" s="21">
        <v>69500000</v>
      </c>
      <c r="K32" s="22">
        <v>45516</v>
      </c>
      <c r="L32" s="22">
        <v>45754</v>
      </c>
      <c r="M32" s="20" t="s">
        <v>49</v>
      </c>
      <c r="N32" s="23" t="s">
        <v>1943</v>
      </c>
      <c r="O32" s="23" t="str">
        <f>IFERROR(VLOOKUP($G32,'DB2'!$A:$B,2,0),"공동과책 확인")</f>
        <v xml:space="preserve">Koo, Kyung Ah </v>
      </c>
      <c r="P32" s="23" t="s">
        <v>1902</v>
      </c>
      <c r="Q32" s="23" t="s">
        <v>1912</v>
      </c>
      <c r="R32" s="23" t="str">
        <f>IFERROR(VLOOKUP($I32,'DB2'!$F$2:$I$50,2,0),"옛날 부서명 확인")</f>
        <v xml:space="preserve">Natural Environment Division </v>
      </c>
      <c r="S32" s="23" t="str">
        <f>IFERROR(VLOOKUP($I32,'DB2'!$F$2:$I$50,4,0),"옛날 부서명 확인")</f>
        <v xml:space="preserve">Land and Environment Research Group </v>
      </c>
    </row>
    <row r="33" spans="1:19" ht="22.5" hidden="1" customHeight="1">
      <c r="A33" s="19" t="s">
        <v>198</v>
      </c>
      <c r="B33" s="19" t="s">
        <v>22</v>
      </c>
      <c r="C33" s="19" t="s">
        <v>199</v>
      </c>
      <c r="D33" s="20" t="s">
        <v>200</v>
      </c>
      <c r="E33" s="20"/>
      <c r="F33" s="20" t="s">
        <v>201</v>
      </c>
      <c r="G33" s="19" t="s">
        <v>202</v>
      </c>
      <c r="H33" s="20" t="s">
        <v>203</v>
      </c>
      <c r="I33" s="20" t="s">
        <v>204</v>
      </c>
      <c r="J33" s="21">
        <v>78400000</v>
      </c>
      <c r="K33" s="22">
        <v>45527</v>
      </c>
      <c r="L33" s="22">
        <v>45679</v>
      </c>
      <c r="M33" s="20" t="s">
        <v>205</v>
      </c>
      <c r="N33" s="23" t="s">
        <v>1944</v>
      </c>
      <c r="O33" s="23" t="str">
        <f>IFERROR(VLOOKUP($G33,'DB2'!$A:$B,2,0),"공동과책 확인")</f>
        <v>Gong, Sungyong</v>
      </c>
      <c r="P33" s="23" t="s">
        <v>1905</v>
      </c>
      <c r="Q33" s="23"/>
      <c r="R33" s="23" t="str">
        <f>IFERROR(VLOOKUP($I33,'DB2'!$F$2:$I$50,2,0),"옛날 부서명 확인")</f>
        <v>Atmospheric Environment Division</v>
      </c>
      <c r="S33" s="23" t="str">
        <f>IFERROR(VLOOKUP($I33,'DB2'!$F$2:$I$50,4,0),"옛날 부서명 확인")</f>
        <v xml:space="preserve">Climate and Atmospheric Strategy Research Group  </v>
      </c>
    </row>
    <row r="34" spans="1:19" ht="22.5" hidden="1" customHeight="1">
      <c r="A34" s="19" t="s">
        <v>206</v>
      </c>
      <c r="B34" s="19" t="s">
        <v>22</v>
      </c>
      <c r="C34" s="19" t="s">
        <v>207</v>
      </c>
      <c r="D34" s="20" t="s">
        <v>208</v>
      </c>
      <c r="E34" s="20"/>
      <c r="F34" s="20" t="s">
        <v>209</v>
      </c>
      <c r="G34" s="19" t="s">
        <v>210</v>
      </c>
      <c r="H34" s="20" t="s">
        <v>211</v>
      </c>
      <c r="I34" s="20" t="s">
        <v>212</v>
      </c>
      <c r="J34" s="21">
        <v>302181810</v>
      </c>
      <c r="K34" s="22">
        <v>45538</v>
      </c>
      <c r="L34" s="22">
        <v>45988</v>
      </c>
      <c r="M34" s="20" t="s">
        <v>49</v>
      </c>
      <c r="N34" s="23" t="s">
        <v>1945</v>
      </c>
      <c r="O34" s="23" t="str">
        <f>IFERROR(VLOOKUP($G34,'DB2'!$A:$B,2,0),"공동과책 확인")</f>
        <v>Lee, Moonhwan</v>
      </c>
      <c r="P34" s="23" t="s">
        <v>1906</v>
      </c>
      <c r="Q34" s="23"/>
      <c r="R34" s="23" t="str">
        <f>IFERROR(VLOOKUP($I34,'DB2'!$F$2:$I$50,2,0),"옛날 부서명 확인")</f>
        <v xml:space="preserve">Water Management Division </v>
      </c>
      <c r="S34" s="23" t="str">
        <f>IFERROR(VLOOKUP($I34,'DB2'!$F$2:$I$50,4,0),"옛날 부서명 확인")</f>
        <v xml:space="preserve">Land and Environment Research Group </v>
      </c>
    </row>
    <row r="35" spans="1:19" ht="22.5" hidden="1" customHeight="1">
      <c r="A35" s="19" t="s">
        <v>213</v>
      </c>
      <c r="B35" s="19" t="s">
        <v>22</v>
      </c>
      <c r="C35" s="19" t="s">
        <v>214</v>
      </c>
      <c r="D35" s="20" t="s">
        <v>215</v>
      </c>
      <c r="E35" s="20"/>
      <c r="F35" s="20" t="s">
        <v>167</v>
      </c>
      <c r="G35" s="19" t="s">
        <v>168</v>
      </c>
      <c r="H35" s="20" t="s">
        <v>48</v>
      </c>
      <c r="I35" s="20" t="s">
        <v>642</v>
      </c>
      <c r="J35" s="21">
        <v>151263000</v>
      </c>
      <c r="K35" s="22">
        <v>45555</v>
      </c>
      <c r="L35" s="22">
        <v>45734</v>
      </c>
      <c r="M35" s="20" t="s">
        <v>49</v>
      </c>
      <c r="N35" s="23" t="s">
        <v>1946</v>
      </c>
      <c r="O35" s="23" t="str">
        <f>IFERROR(VLOOKUP($G35,'DB2'!$A:$B,2,0),"공동과책 확인")</f>
        <v>Park, Chang Sug</v>
      </c>
      <c r="P35" s="23" t="s">
        <v>1901</v>
      </c>
      <c r="Q35" s="23"/>
      <c r="R35" s="23" t="str">
        <f>IFERROR(VLOOKUP($I35,'DB2'!$F$2:$I$50,2,0),"옛날 부서명 확인")</f>
        <v>Executive Office</v>
      </c>
      <c r="S35" s="23" t="str">
        <f>IFERROR(VLOOKUP($I35,'DB2'!$F$2:$I$50,4,0),"옛날 부서명 확인")</f>
        <v>Executive Office</v>
      </c>
    </row>
    <row r="36" spans="1:19" ht="22.5" hidden="1" customHeight="1">
      <c r="A36" s="19" t="s">
        <v>216</v>
      </c>
      <c r="B36" s="19" t="s">
        <v>22</v>
      </c>
      <c r="C36" s="19" t="s">
        <v>217</v>
      </c>
      <c r="D36" s="20" t="s">
        <v>218</v>
      </c>
      <c r="E36" s="20"/>
      <c r="F36" s="20" t="s">
        <v>219</v>
      </c>
      <c r="G36" s="19" t="s">
        <v>220</v>
      </c>
      <c r="H36" s="20" t="s">
        <v>221</v>
      </c>
      <c r="I36" s="20" t="s">
        <v>222</v>
      </c>
      <c r="J36" s="21">
        <v>99000000</v>
      </c>
      <c r="K36" s="22">
        <v>45558</v>
      </c>
      <c r="L36" s="22">
        <v>45891</v>
      </c>
      <c r="M36" s="20" t="s">
        <v>223</v>
      </c>
      <c r="N36" s="23" t="s">
        <v>1947</v>
      </c>
      <c r="O36" s="23" t="str">
        <f>IFERROR(VLOOKUP($G36,'DB2'!$A:$B,2,0),"공동과책 확인")</f>
        <v>공동과책 확인</v>
      </c>
      <c r="P36" s="23" t="s">
        <v>1913</v>
      </c>
      <c r="Q36" s="23" t="s">
        <v>1910</v>
      </c>
      <c r="R36" s="23" t="str">
        <f>IFERROR(VLOOKUP($I36,'DB2'!$F$2:$I$50,2,0),"옛날 부서명 확인")</f>
        <v>Spatial Planning and Management Division</v>
      </c>
      <c r="S36" s="23" t="str">
        <f>IFERROR(VLOOKUP($I36,'DB2'!$F$2:$I$50,4,0),"옛날 부서명 확인")</f>
        <v xml:space="preserve">Land and Environment Research Group </v>
      </c>
    </row>
    <row r="37" spans="1:19" ht="22.5" hidden="1" customHeight="1">
      <c r="A37" s="19" t="s">
        <v>224</v>
      </c>
      <c r="B37" s="19" t="s">
        <v>22</v>
      </c>
      <c r="C37" s="19" t="s">
        <v>225</v>
      </c>
      <c r="D37" s="20" t="s">
        <v>226</v>
      </c>
      <c r="E37" s="20"/>
      <c r="F37" s="20" t="s">
        <v>227</v>
      </c>
      <c r="G37" s="19" t="s">
        <v>228</v>
      </c>
      <c r="H37" s="20" t="s">
        <v>211</v>
      </c>
      <c r="I37" s="20" t="s">
        <v>212</v>
      </c>
      <c r="J37" s="21">
        <v>171000000</v>
      </c>
      <c r="K37" s="22">
        <v>45583</v>
      </c>
      <c r="L37" s="22">
        <v>45947</v>
      </c>
      <c r="M37" s="20" t="s">
        <v>49</v>
      </c>
      <c r="N37" s="23" t="s">
        <v>1948</v>
      </c>
      <c r="O37" s="23" t="str">
        <f>IFERROR(VLOOKUP($G37,'DB2'!$A:$B,2,0),"공동과책 확인")</f>
        <v>Han, Haejin</v>
      </c>
      <c r="P37" s="23" t="s">
        <v>1906</v>
      </c>
      <c r="Q37" s="23"/>
      <c r="R37" s="23" t="str">
        <f>IFERROR(VLOOKUP($I37,'DB2'!$F$2:$I$50,2,0),"옛날 부서명 확인")</f>
        <v xml:space="preserve">Water Management Division </v>
      </c>
      <c r="S37" s="23" t="str">
        <f>IFERROR(VLOOKUP($I37,'DB2'!$F$2:$I$50,4,0),"옛날 부서명 확인")</f>
        <v xml:space="preserve">Land and Environment Research Group </v>
      </c>
    </row>
    <row r="38" spans="1:19" ht="22.5" hidden="1" customHeight="1">
      <c r="A38" s="19" t="s">
        <v>229</v>
      </c>
      <c r="B38" s="19" t="s">
        <v>22</v>
      </c>
      <c r="C38" s="19" t="s">
        <v>230</v>
      </c>
      <c r="D38" s="20" t="s">
        <v>231</v>
      </c>
      <c r="E38" s="20"/>
      <c r="F38" s="20" t="s">
        <v>232</v>
      </c>
      <c r="G38" s="19" t="s">
        <v>233</v>
      </c>
      <c r="H38" s="20" t="s">
        <v>211</v>
      </c>
      <c r="I38" s="20" t="s">
        <v>212</v>
      </c>
      <c r="J38" s="21">
        <v>180000000</v>
      </c>
      <c r="K38" s="22">
        <v>45587</v>
      </c>
      <c r="L38" s="22">
        <v>46008</v>
      </c>
      <c r="M38" s="20" t="s">
        <v>234</v>
      </c>
      <c r="N38" s="23" t="s">
        <v>1949</v>
      </c>
      <c r="O38" s="23" t="str">
        <f>IFERROR(VLOOKUP($G38,'DB2'!$A:$B,2,0),"공동과책 확인")</f>
        <v>Kim, Hojeong</v>
      </c>
      <c r="P38" s="23" t="s">
        <v>1906</v>
      </c>
      <c r="Q38" s="23"/>
      <c r="R38" s="23" t="str">
        <f>IFERROR(VLOOKUP($I38,'DB2'!$F$2:$I$50,2,0),"옛날 부서명 확인")</f>
        <v xml:space="preserve">Water Management Division </v>
      </c>
      <c r="S38" s="23" t="str">
        <f>IFERROR(VLOOKUP($I38,'DB2'!$F$2:$I$50,4,0),"옛날 부서명 확인")</f>
        <v xml:space="preserve">Land and Environment Research Group </v>
      </c>
    </row>
    <row r="39" spans="1:19" ht="22.5" hidden="1" customHeight="1">
      <c r="A39" s="19" t="s">
        <v>235</v>
      </c>
      <c r="B39" s="19" t="s">
        <v>22</v>
      </c>
      <c r="C39" s="19" t="s">
        <v>236</v>
      </c>
      <c r="D39" s="20" t="s">
        <v>237</v>
      </c>
      <c r="E39" s="20"/>
      <c r="F39" s="20" t="s">
        <v>238</v>
      </c>
      <c r="G39" s="19" t="s">
        <v>239</v>
      </c>
      <c r="H39" s="20" t="s">
        <v>155</v>
      </c>
      <c r="I39" s="20" t="s">
        <v>156</v>
      </c>
      <c r="J39" s="21">
        <v>45200000</v>
      </c>
      <c r="K39" s="22">
        <v>45590</v>
      </c>
      <c r="L39" s="22">
        <v>45739</v>
      </c>
      <c r="M39" s="20" t="s">
        <v>240</v>
      </c>
      <c r="N39" s="23" t="s">
        <v>1950</v>
      </c>
      <c r="O39" s="23" t="str">
        <f>IFERROR(VLOOKUP($G39,'DB2'!$A:$B,2,0),"공동과책 확인")</f>
        <v xml:space="preserve">Jung, Dawoon </v>
      </c>
      <c r="P39" s="23" t="s">
        <v>1903</v>
      </c>
      <c r="Q39" s="23"/>
      <c r="R39" s="23" t="str">
        <f>IFERROR(VLOOKUP($I39,'DB2'!$F$2:$I$50,2,0),"옛날 부서명 확인")</f>
        <v xml:space="preserve">Environmental Health Division </v>
      </c>
      <c r="S39" s="23" t="str">
        <f>IFERROR(VLOOKUP($I39,'DB2'!$F$2:$I$50,4,0),"옛날 부서명 확인")</f>
        <v xml:space="preserve">Sustainable Development Research Group  </v>
      </c>
    </row>
    <row r="40" spans="1:19" ht="22.5" hidden="1" customHeight="1">
      <c r="A40" s="19" t="s">
        <v>241</v>
      </c>
      <c r="B40" s="19" t="s">
        <v>22</v>
      </c>
      <c r="C40" s="19" t="s">
        <v>242</v>
      </c>
      <c r="D40" s="20" t="s">
        <v>243</v>
      </c>
      <c r="E40" s="20"/>
      <c r="F40" s="20" t="s">
        <v>244</v>
      </c>
      <c r="G40" s="19" t="s">
        <v>245</v>
      </c>
      <c r="H40" s="20" t="s">
        <v>155</v>
      </c>
      <c r="I40" s="20" t="s">
        <v>156</v>
      </c>
      <c r="J40" s="21">
        <v>30000000</v>
      </c>
      <c r="K40" s="22">
        <v>45514</v>
      </c>
      <c r="L40" s="22">
        <v>45878</v>
      </c>
      <c r="M40" s="20" t="s">
        <v>246</v>
      </c>
      <c r="N40" s="23" t="s">
        <v>1951</v>
      </c>
      <c r="O40" s="23" t="str">
        <f>IFERROR(VLOOKUP($G40,'DB2'!$A:$B,2,0),"공동과책 확인")</f>
        <v>Park, Jeonggue</v>
      </c>
      <c r="P40" s="23" t="s">
        <v>1903</v>
      </c>
      <c r="Q40" s="23" t="s">
        <v>1909</v>
      </c>
      <c r="R40" s="23" t="str">
        <f>IFERROR(VLOOKUP($I40,'DB2'!$F$2:$I$50,2,0),"옛날 부서명 확인")</f>
        <v xml:space="preserve">Environmental Health Division </v>
      </c>
      <c r="S40" s="23" t="str">
        <f>IFERROR(VLOOKUP($I40,'DB2'!$F$2:$I$50,4,0),"옛날 부서명 확인")</f>
        <v xml:space="preserve">Sustainable Development Research Group  </v>
      </c>
    </row>
    <row r="41" spans="1:19" ht="22.5" hidden="1" customHeight="1">
      <c r="A41" s="19" t="s">
        <v>247</v>
      </c>
      <c r="B41" s="19" t="s">
        <v>22</v>
      </c>
      <c r="C41" s="19" t="s">
        <v>248</v>
      </c>
      <c r="D41" s="20" t="s">
        <v>249</v>
      </c>
      <c r="E41" s="20"/>
      <c r="F41" s="20" t="s">
        <v>250</v>
      </c>
      <c r="G41" s="19" t="s">
        <v>251</v>
      </c>
      <c r="H41" s="20" t="s">
        <v>221</v>
      </c>
      <c r="I41" s="20" t="s">
        <v>222</v>
      </c>
      <c r="J41" s="21">
        <v>99000000</v>
      </c>
      <c r="K41" s="22">
        <v>45601</v>
      </c>
      <c r="L41" s="22">
        <v>45898</v>
      </c>
      <c r="M41" s="20" t="s">
        <v>49</v>
      </c>
      <c r="N41" s="23" t="s">
        <v>1952</v>
      </c>
      <c r="O41" s="23" t="str">
        <f>IFERROR(VLOOKUP($G41,'DB2'!$A:$B,2,0),"공동과책 확인")</f>
        <v>Choi, Hee-Sun</v>
      </c>
      <c r="P41" s="23" t="s">
        <v>1901</v>
      </c>
      <c r="Q41" s="23" t="s">
        <v>1902</v>
      </c>
      <c r="R41" s="23" t="str">
        <f>IFERROR(VLOOKUP($I41,'DB2'!$F$2:$I$50,2,0),"옛날 부서명 확인")</f>
        <v>Spatial Planning and Management Division</v>
      </c>
      <c r="S41" s="23" t="str">
        <f>IFERROR(VLOOKUP($I41,'DB2'!$F$2:$I$50,4,0),"옛날 부서명 확인")</f>
        <v xml:space="preserve">Land and Environment Research Group </v>
      </c>
    </row>
    <row r="42" spans="1:19" ht="22.5" hidden="1" customHeight="1">
      <c r="A42" s="19" t="s">
        <v>252</v>
      </c>
      <c r="B42" s="19" t="s">
        <v>22</v>
      </c>
      <c r="C42" s="19" t="s">
        <v>253</v>
      </c>
      <c r="D42" s="20" t="s">
        <v>254</v>
      </c>
      <c r="E42" s="20"/>
      <c r="F42" s="20" t="s">
        <v>255</v>
      </c>
      <c r="G42" s="19" t="s">
        <v>256</v>
      </c>
      <c r="H42" s="20" t="s">
        <v>257</v>
      </c>
      <c r="I42" s="20" t="s">
        <v>156</v>
      </c>
      <c r="J42" s="21">
        <v>98000000</v>
      </c>
      <c r="K42" s="22">
        <v>45600</v>
      </c>
      <c r="L42" s="22">
        <v>45965</v>
      </c>
      <c r="M42" s="20" t="s">
        <v>205</v>
      </c>
      <c r="N42" s="23" t="s">
        <v>1953</v>
      </c>
      <c r="O42" s="23" t="str">
        <f>IFERROR(VLOOKUP($G42,'DB2'!$A:$B,2,0),"공동과책 확인")</f>
        <v>Bae, Hyun-Joo</v>
      </c>
      <c r="P42" s="23" t="s">
        <v>1903</v>
      </c>
      <c r="Q42" s="23" t="s">
        <v>1905</v>
      </c>
      <c r="R42" s="23" t="str">
        <f>IFERROR(VLOOKUP($I42,'DB2'!$F$2:$I$50,2,0),"옛날 부서명 확인")</f>
        <v xml:space="preserve">Environmental Health Division </v>
      </c>
      <c r="S42" s="23" t="str">
        <f>IFERROR(VLOOKUP($I42,'DB2'!$F$2:$I$50,4,0),"옛날 부서명 확인")</f>
        <v xml:space="preserve">Sustainable Development Research Group  </v>
      </c>
    </row>
    <row r="43" spans="1:19" ht="22.5" hidden="1" customHeight="1">
      <c r="A43" s="19" t="s">
        <v>258</v>
      </c>
      <c r="B43" s="19" t="s">
        <v>22</v>
      </c>
      <c r="C43" s="19" t="s">
        <v>259</v>
      </c>
      <c r="D43" s="20" t="s">
        <v>260</v>
      </c>
      <c r="E43" s="20"/>
      <c r="F43" s="20" t="s">
        <v>261</v>
      </c>
      <c r="G43" s="19" t="s">
        <v>262</v>
      </c>
      <c r="H43" s="20" t="s">
        <v>91</v>
      </c>
      <c r="I43" s="20" t="s">
        <v>424</v>
      </c>
      <c r="J43" s="21">
        <v>20000000</v>
      </c>
      <c r="K43" s="22">
        <v>45609</v>
      </c>
      <c r="L43" s="22">
        <v>45698</v>
      </c>
      <c r="M43" s="20" t="s">
        <v>49</v>
      </c>
      <c r="N43" s="23" t="s">
        <v>1954</v>
      </c>
      <c r="O43" s="23" t="str">
        <f>IFERROR(VLOOKUP($G43,'DB2'!$A:$B,2,0),"공동과책 확인")</f>
        <v xml:space="preserve">Yang, Kyung </v>
      </c>
      <c r="P43" s="23" t="s">
        <v>1907</v>
      </c>
      <c r="Q43" s="23"/>
      <c r="R43" s="23" t="str">
        <f>IFERROR(VLOOKUP($I43,'DB2'!$F$2:$I$50,2,0),"옛날 부서명 확인")</f>
        <v xml:space="preserve">Climate and Energy Assessment Division </v>
      </c>
      <c r="S43" s="23" t="str">
        <f>IFERROR(VLOOKUP($I43,'DB2'!$F$2:$I$50,4,0),"옛날 부서명 확인")</f>
        <v xml:space="preserve">Environmental Assessment Group </v>
      </c>
    </row>
    <row r="44" spans="1:19" ht="22.5" hidden="1" customHeight="1">
      <c r="A44" s="19" t="s">
        <v>263</v>
      </c>
      <c r="B44" s="19" t="s">
        <v>22</v>
      </c>
      <c r="C44" s="19" t="s">
        <v>264</v>
      </c>
      <c r="D44" s="20" t="s">
        <v>265</v>
      </c>
      <c r="E44" s="20"/>
      <c r="F44" s="20" t="s">
        <v>266</v>
      </c>
      <c r="G44" s="19" t="s">
        <v>267</v>
      </c>
      <c r="H44" s="20" t="s">
        <v>268</v>
      </c>
      <c r="I44" s="20" t="s">
        <v>269</v>
      </c>
      <c r="J44" s="21">
        <v>175454540</v>
      </c>
      <c r="K44" s="22">
        <v>45618</v>
      </c>
      <c r="L44" s="22">
        <v>45961</v>
      </c>
      <c r="M44" s="20" t="s">
        <v>270</v>
      </c>
      <c r="N44" s="23" t="s">
        <v>1955</v>
      </c>
      <c r="O44" s="23" t="str">
        <f>IFERROR(VLOOKUP($G44,'DB2'!$A:$B,2,0),"공동과책 확인")</f>
        <v>Shin, Sang-Cheol</v>
      </c>
      <c r="P44" s="23" t="s">
        <v>1903</v>
      </c>
      <c r="Q44" s="23"/>
      <c r="R44" s="23" t="str">
        <f>IFERROR(VLOOKUP($I44,'DB2'!$F$2:$I$50,2,0),"옛날 부서명 확인")</f>
        <v xml:space="preserve">Circular Economy Division </v>
      </c>
      <c r="S44" s="23" t="str">
        <f>IFERROR(VLOOKUP($I44,'DB2'!$F$2:$I$50,4,0),"옛날 부서명 확인")</f>
        <v xml:space="preserve">Sustainable Development Research Group  </v>
      </c>
    </row>
    <row r="45" spans="1:19" ht="22.5" hidden="1" customHeight="1">
      <c r="A45" s="19" t="s">
        <v>271</v>
      </c>
      <c r="B45" s="19" t="s">
        <v>22</v>
      </c>
      <c r="C45" s="19" t="s">
        <v>272</v>
      </c>
      <c r="D45" s="20" t="s">
        <v>273</v>
      </c>
      <c r="E45" s="20"/>
      <c r="F45" s="20" t="s">
        <v>274</v>
      </c>
      <c r="G45" s="19" t="s">
        <v>275</v>
      </c>
      <c r="H45" s="20" t="s">
        <v>268</v>
      </c>
      <c r="I45" s="20" t="s">
        <v>269</v>
      </c>
      <c r="J45" s="21">
        <v>135714150</v>
      </c>
      <c r="K45" s="22">
        <v>45625</v>
      </c>
      <c r="L45" s="22">
        <v>45930</v>
      </c>
      <c r="M45" s="20" t="s">
        <v>276</v>
      </c>
      <c r="N45" s="23" t="s">
        <v>1956</v>
      </c>
      <c r="O45" s="23" t="str">
        <f>IFERROR(VLOOKUP($G45,'DB2'!$A:$B,2,0),"공동과책 확인")</f>
        <v xml:space="preserve">Yi, Sora </v>
      </c>
      <c r="P45" s="23" t="s">
        <v>1900</v>
      </c>
      <c r="Q45" s="23" t="s">
        <v>1912</v>
      </c>
      <c r="R45" s="23" t="str">
        <f>IFERROR(VLOOKUP($I45,'DB2'!$F$2:$I$50,2,0),"옛날 부서명 확인")</f>
        <v xml:space="preserve">Circular Economy Division </v>
      </c>
      <c r="S45" s="23" t="str">
        <f>IFERROR(VLOOKUP($I45,'DB2'!$F$2:$I$50,4,0),"옛날 부서명 확인")</f>
        <v xml:space="preserve">Sustainable Development Research Group  </v>
      </c>
    </row>
    <row r="46" spans="1:19" ht="22.5" hidden="1" customHeight="1">
      <c r="A46" s="19" t="s">
        <v>277</v>
      </c>
      <c r="B46" s="19" t="s">
        <v>22</v>
      </c>
      <c r="C46" s="19" t="s">
        <v>278</v>
      </c>
      <c r="D46" s="20" t="s">
        <v>279</v>
      </c>
      <c r="E46" s="20"/>
      <c r="F46" s="20" t="s">
        <v>128</v>
      </c>
      <c r="G46" s="19" t="s">
        <v>129</v>
      </c>
      <c r="H46" s="20" t="s">
        <v>130</v>
      </c>
      <c r="I46" s="20" t="s">
        <v>131</v>
      </c>
      <c r="J46" s="21">
        <v>45454540</v>
      </c>
      <c r="K46" s="22">
        <v>45625</v>
      </c>
      <c r="L46" s="22">
        <v>45684</v>
      </c>
      <c r="M46" s="20" t="s">
        <v>280</v>
      </c>
      <c r="N46" s="23" t="s">
        <v>1957</v>
      </c>
      <c r="O46" s="23" t="str">
        <f>IFERROR(VLOOKUP($G46,'DB2'!$A:$B,2,0),"공동과책 확인")</f>
        <v>Kim, Sungjin</v>
      </c>
      <c r="P46" s="23" t="s">
        <v>1913</v>
      </c>
      <c r="Q46" s="23"/>
      <c r="R46" s="23" t="str">
        <f>IFERROR(VLOOKUP($I46,'DB2'!$F$2:$I$50,2,0),"옛날 부서명 확인")</f>
        <v xml:space="preserve">Carbon Neutrality Division </v>
      </c>
      <c r="S46" s="23" t="str">
        <f>IFERROR(VLOOKUP($I46,'DB2'!$F$2:$I$50,4,0),"옛날 부서명 확인")</f>
        <v xml:space="preserve">Climate and Atmospheric Strategy Research Group  </v>
      </c>
    </row>
    <row r="47" spans="1:19" ht="22.5" hidden="1" customHeight="1">
      <c r="A47" s="19" t="s">
        <v>281</v>
      </c>
      <c r="B47" s="19" t="s">
        <v>22</v>
      </c>
      <c r="C47" s="19" t="s">
        <v>282</v>
      </c>
      <c r="D47" s="20" t="s">
        <v>283</v>
      </c>
      <c r="E47" s="20"/>
      <c r="F47" s="20" t="s">
        <v>136</v>
      </c>
      <c r="G47" s="19" t="s">
        <v>137</v>
      </c>
      <c r="H47" s="20" t="s">
        <v>98</v>
      </c>
      <c r="I47" s="20" t="s">
        <v>212</v>
      </c>
      <c r="J47" s="21">
        <v>90909090</v>
      </c>
      <c r="K47" s="22">
        <v>45630</v>
      </c>
      <c r="L47" s="22">
        <v>45869</v>
      </c>
      <c r="M47" s="20" t="s">
        <v>49</v>
      </c>
      <c r="N47" s="23" t="s">
        <v>1958</v>
      </c>
      <c r="O47" s="23" t="str">
        <f>IFERROR(VLOOKUP($G47,'DB2'!$A:$B,2,0),"공동과책 확인")</f>
        <v>Han, Daeho</v>
      </c>
      <c r="P47" s="23" t="s">
        <v>1911</v>
      </c>
      <c r="Q47" s="23" t="s">
        <v>1914</v>
      </c>
      <c r="R47" s="23" t="str">
        <f>IFERROR(VLOOKUP($I47,'DB2'!$F$2:$I$50,2,0),"옛날 부서명 확인")</f>
        <v xml:space="preserve">Water Management Division </v>
      </c>
      <c r="S47" s="23" t="str">
        <f>IFERROR(VLOOKUP($I47,'DB2'!$F$2:$I$50,4,0),"옛날 부서명 확인")</f>
        <v xml:space="preserve">Land and Environment Research Group </v>
      </c>
    </row>
    <row r="48" spans="1:19" ht="22.5" hidden="1" customHeight="1">
      <c r="A48" s="19" t="s">
        <v>284</v>
      </c>
      <c r="B48" s="19" t="s">
        <v>22</v>
      </c>
      <c r="C48" s="19" t="s">
        <v>285</v>
      </c>
      <c r="D48" s="20" t="s">
        <v>286</v>
      </c>
      <c r="E48" s="20"/>
      <c r="F48" s="20" t="s">
        <v>287</v>
      </c>
      <c r="G48" s="19" t="s">
        <v>288</v>
      </c>
      <c r="H48" s="20" t="s">
        <v>98</v>
      </c>
      <c r="I48" s="20" t="s">
        <v>212</v>
      </c>
      <c r="J48" s="21">
        <v>44180000</v>
      </c>
      <c r="K48" s="22">
        <v>45632</v>
      </c>
      <c r="L48" s="22">
        <v>45751</v>
      </c>
      <c r="M48" s="20" t="s">
        <v>49</v>
      </c>
      <c r="N48" s="23" t="s">
        <v>1959</v>
      </c>
      <c r="O48" s="23" t="str">
        <f>IFERROR(VLOOKUP($G48,'DB2'!$A:$B,2,0),"공동과책 확인")</f>
        <v>Jeon, Dongjin</v>
      </c>
      <c r="P48" s="23" t="s">
        <v>1906</v>
      </c>
      <c r="Q48" s="23" t="s">
        <v>1904</v>
      </c>
      <c r="R48" s="23" t="str">
        <f>IFERROR(VLOOKUP($I48,'DB2'!$F$2:$I$50,2,0),"옛날 부서명 확인")</f>
        <v xml:space="preserve">Water Management Division </v>
      </c>
      <c r="S48" s="23" t="str">
        <f>IFERROR(VLOOKUP($I48,'DB2'!$F$2:$I$50,4,0),"옛날 부서명 확인")</f>
        <v xml:space="preserve">Land and Environment Research Group </v>
      </c>
    </row>
    <row r="49" spans="1:19" ht="22.5" hidden="1" customHeight="1">
      <c r="A49" s="19" t="s">
        <v>289</v>
      </c>
      <c r="B49" s="19" t="s">
        <v>22</v>
      </c>
      <c r="C49" s="19" t="s">
        <v>290</v>
      </c>
      <c r="D49" s="20" t="s">
        <v>291</v>
      </c>
      <c r="E49" s="20"/>
      <c r="F49" s="20" t="s">
        <v>292</v>
      </c>
      <c r="G49" s="19" t="s">
        <v>293</v>
      </c>
      <c r="H49" s="20" t="s">
        <v>211</v>
      </c>
      <c r="I49" s="20" t="s">
        <v>212</v>
      </c>
      <c r="J49" s="21">
        <v>89200000</v>
      </c>
      <c r="K49" s="22">
        <v>45635</v>
      </c>
      <c r="L49" s="22">
        <v>45904</v>
      </c>
      <c r="M49" s="20" t="s">
        <v>49</v>
      </c>
      <c r="N49" s="23" t="s">
        <v>1960</v>
      </c>
      <c r="O49" s="23" t="str">
        <f>IFERROR(VLOOKUP($G49,'DB2'!$A:$B,2,0),"공동과책 확인")</f>
        <v>Ryu, Jaena</v>
      </c>
      <c r="P49" s="23" t="s">
        <v>1906</v>
      </c>
      <c r="Q49" s="23"/>
      <c r="R49" s="23" t="str">
        <f>IFERROR(VLOOKUP($I49,'DB2'!$F$2:$I$50,2,0),"옛날 부서명 확인")</f>
        <v xml:space="preserve">Water Management Division </v>
      </c>
      <c r="S49" s="23" t="str">
        <f>IFERROR(VLOOKUP($I49,'DB2'!$F$2:$I$50,4,0),"옛날 부서명 확인")</f>
        <v xml:space="preserve">Land and Environment Research Group </v>
      </c>
    </row>
    <row r="50" spans="1:19" ht="22.5" hidden="1" customHeight="1">
      <c r="A50" s="19" t="s">
        <v>294</v>
      </c>
      <c r="B50" s="19" t="s">
        <v>22</v>
      </c>
      <c r="C50" s="19" t="s">
        <v>295</v>
      </c>
      <c r="D50" s="20" t="s">
        <v>296</v>
      </c>
      <c r="E50" s="20"/>
      <c r="F50" s="20" t="s">
        <v>292</v>
      </c>
      <c r="G50" s="19" t="s">
        <v>293</v>
      </c>
      <c r="H50" s="20" t="s">
        <v>211</v>
      </c>
      <c r="I50" s="20" t="s">
        <v>212</v>
      </c>
      <c r="J50" s="21">
        <v>81000000</v>
      </c>
      <c r="K50" s="22">
        <v>45636</v>
      </c>
      <c r="L50" s="22">
        <v>45995</v>
      </c>
      <c r="M50" s="20" t="s">
        <v>49</v>
      </c>
      <c r="N50" s="23" t="s">
        <v>1961</v>
      </c>
      <c r="O50" s="23" t="str">
        <f>IFERROR(VLOOKUP($G50,'DB2'!$A:$B,2,0),"공동과책 확인")</f>
        <v>Ryu, Jaena</v>
      </c>
      <c r="P50" s="23" t="s">
        <v>1906</v>
      </c>
      <c r="Q50" s="23"/>
      <c r="R50" s="23" t="str">
        <f>IFERROR(VLOOKUP($I50,'DB2'!$F$2:$I$50,2,0),"옛날 부서명 확인")</f>
        <v xml:space="preserve">Water Management Division </v>
      </c>
      <c r="S50" s="23" t="str">
        <f>IFERROR(VLOOKUP($I50,'DB2'!$F$2:$I$50,4,0),"옛날 부서명 확인")</f>
        <v xml:space="preserve">Land and Environment Research Group </v>
      </c>
    </row>
    <row r="51" spans="1:19" ht="22.5" hidden="1" customHeight="1">
      <c r="A51" s="19" t="s">
        <v>297</v>
      </c>
      <c r="B51" s="19" t="s">
        <v>22</v>
      </c>
      <c r="C51" s="19" t="s">
        <v>298</v>
      </c>
      <c r="D51" s="20" t="s">
        <v>299</v>
      </c>
      <c r="E51" s="20"/>
      <c r="F51" s="20" t="s">
        <v>300</v>
      </c>
      <c r="G51" s="19" t="s">
        <v>301</v>
      </c>
      <c r="H51" s="20" t="s">
        <v>40</v>
      </c>
      <c r="I51" s="20" t="s">
        <v>41</v>
      </c>
      <c r="J51" s="21">
        <v>124727270</v>
      </c>
      <c r="K51" s="22">
        <v>45644</v>
      </c>
      <c r="L51" s="22">
        <v>45961</v>
      </c>
      <c r="M51" s="20" t="s">
        <v>302</v>
      </c>
      <c r="N51" s="23" t="s">
        <v>1962</v>
      </c>
      <c r="O51" s="23" t="str">
        <f>IFERROR(VLOOKUP($G51,'DB2'!$A:$B,2,0),"공동과책 확인")</f>
        <v>Chung, Woo Hyun</v>
      </c>
      <c r="P51" s="23" t="s">
        <v>1911</v>
      </c>
      <c r="Q51" s="23"/>
      <c r="R51" s="23" t="str">
        <f>IFERROR(VLOOKUP($I51,'DB2'!$F$2:$I$50,2,0),"옛날 부서명 확인")</f>
        <v xml:space="preserve">Living Environment and Society Division </v>
      </c>
      <c r="S51" s="23" t="str">
        <f>IFERROR(VLOOKUP($I51,'DB2'!$F$2:$I$50,4,0),"옛날 부서명 확인")</f>
        <v xml:space="preserve">Sustainable Development Research Group  </v>
      </c>
    </row>
    <row r="52" spans="1:19" ht="22.5" hidden="1" customHeight="1">
      <c r="A52" s="19" t="s">
        <v>311</v>
      </c>
      <c r="B52" s="19" t="s">
        <v>22</v>
      </c>
      <c r="C52" s="19" t="s">
        <v>312</v>
      </c>
      <c r="D52" s="20" t="s">
        <v>313</v>
      </c>
      <c r="E52" s="20"/>
      <c r="F52" s="20" t="s">
        <v>314</v>
      </c>
      <c r="G52" s="19" t="s">
        <v>315</v>
      </c>
      <c r="H52" s="20" t="s">
        <v>316</v>
      </c>
      <c r="I52" s="20" t="s">
        <v>69</v>
      </c>
      <c r="J52" s="21">
        <v>640000000</v>
      </c>
      <c r="K52" s="22">
        <v>45658</v>
      </c>
      <c r="L52" s="22">
        <v>46022</v>
      </c>
      <c r="M52" s="20" t="s">
        <v>310</v>
      </c>
      <c r="N52" s="23" t="s">
        <v>1963</v>
      </c>
      <c r="O52" s="23" t="str">
        <f>IFERROR(VLOOKUP($G52,'DB2'!$A:$B,2,0),"공동과책 확인")</f>
        <v>Shin, Jiyoung</v>
      </c>
      <c r="P52" s="23" t="s">
        <v>1908</v>
      </c>
      <c r="Q52" s="23"/>
      <c r="R52" s="23" t="str">
        <f>IFERROR(VLOOKUP($I52,'DB2'!$F$2:$I$50,2,0),"옛날 부서명 확인")</f>
        <v>Performance Management Team</v>
      </c>
      <c r="S52" s="23" t="str">
        <f>IFERROR(VLOOKUP($I52,'DB2'!$F$2:$I$50,4,0),"옛날 부서명 확인")</f>
        <v xml:space="preserve">Department of Planning and Strategy </v>
      </c>
    </row>
    <row r="53" spans="1:19" ht="22.5" hidden="1" customHeight="1">
      <c r="A53" s="19" t="s">
        <v>318</v>
      </c>
      <c r="B53" s="19" t="s">
        <v>22</v>
      </c>
      <c r="C53" s="19" t="s">
        <v>319</v>
      </c>
      <c r="D53" s="20" t="s">
        <v>320</v>
      </c>
      <c r="E53" s="20"/>
      <c r="F53" s="20" t="s">
        <v>321</v>
      </c>
      <c r="G53" s="19" t="s">
        <v>322</v>
      </c>
      <c r="H53" s="20" t="s">
        <v>316</v>
      </c>
      <c r="I53" s="20" t="s">
        <v>317</v>
      </c>
      <c r="J53" s="21">
        <v>980000000</v>
      </c>
      <c r="K53" s="22">
        <v>45658</v>
      </c>
      <c r="L53" s="22">
        <v>46022</v>
      </c>
      <c r="M53" s="20" t="s">
        <v>310</v>
      </c>
      <c r="N53" s="23" t="s">
        <v>1964</v>
      </c>
      <c r="O53" s="23" t="str">
        <f>IFERROR(VLOOKUP($G53,'DB2'!$A:$B,2,0),"공동과책 확인")</f>
        <v>Park, Jin-han</v>
      </c>
      <c r="P53" s="23" t="s">
        <v>1908</v>
      </c>
      <c r="Q53" s="23" t="s">
        <v>1911</v>
      </c>
      <c r="R53" s="23" t="str">
        <f>IFERROR(VLOOKUP($I53,'DB2'!$F$2:$I$50,2,0),"옛날 부서명 확인")</f>
        <v xml:space="preserve">Climate Adaptation Policy Division </v>
      </c>
      <c r="S53" s="23" t="str">
        <f>IFERROR(VLOOKUP($I53,'DB2'!$F$2:$I$50,4,0),"옛날 부서명 확인")</f>
        <v xml:space="preserve">Korea Adaptation Center for Climate Change </v>
      </c>
    </row>
    <row r="54" spans="1:19" ht="22.5" hidden="1" customHeight="1">
      <c r="A54" s="19" t="s">
        <v>323</v>
      </c>
      <c r="B54" s="19" t="s">
        <v>22</v>
      </c>
      <c r="C54" s="19" t="s">
        <v>324</v>
      </c>
      <c r="D54" s="20" t="s">
        <v>325</v>
      </c>
      <c r="E54" s="20"/>
      <c r="F54" s="20" t="s">
        <v>73</v>
      </c>
      <c r="G54" s="19" t="s">
        <v>74</v>
      </c>
      <c r="H54" s="20" t="s">
        <v>75</v>
      </c>
      <c r="I54" s="20" t="s">
        <v>76</v>
      </c>
      <c r="J54" s="21">
        <v>640000000</v>
      </c>
      <c r="K54" s="22">
        <v>45658</v>
      </c>
      <c r="L54" s="22">
        <v>46022</v>
      </c>
      <c r="M54" s="20" t="s">
        <v>310</v>
      </c>
      <c r="N54" s="23" t="s">
        <v>1965</v>
      </c>
      <c r="O54" s="23" t="str">
        <f>IFERROR(VLOOKUP($G54,'DB2'!$A:$B,2,0),"공동과책 확인")</f>
        <v>Cho, Hanna</v>
      </c>
      <c r="P54" s="23" t="s">
        <v>1908</v>
      </c>
      <c r="Q54" s="23"/>
      <c r="R54" s="23" t="str">
        <f>IFERROR(VLOOKUP($I54,'DB2'!$F$2:$I$50,2,0),"옛날 부서명 확인")</f>
        <v xml:space="preserve">Climate Adaptation Cooperation Division </v>
      </c>
      <c r="S54" s="23" t="str">
        <f>IFERROR(VLOOKUP($I54,'DB2'!$F$2:$I$50,4,0),"옛날 부서명 확인")</f>
        <v xml:space="preserve">Korea Adaptation Center for Climate Change </v>
      </c>
    </row>
    <row r="55" spans="1:19" ht="22.5" hidden="1" customHeight="1">
      <c r="A55" s="19" t="s">
        <v>326</v>
      </c>
      <c r="B55" s="19" t="s">
        <v>22</v>
      </c>
      <c r="C55" s="19" t="s">
        <v>327</v>
      </c>
      <c r="D55" s="20" t="s">
        <v>328</v>
      </c>
      <c r="E55" s="20"/>
      <c r="F55" s="20" t="s">
        <v>73</v>
      </c>
      <c r="G55" s="19" t="s">
        <v>74</v>
      </c>
      <c r="H55" s="20" t="s">
        <v>75</v>
      </c>
      <c r="I55" s="20" t="s">
        <v>317</v>
      </c>
      <c r="J55" s="21">
        <v>670000000</v>
      </c>
      <c r="K55" s="22">
        <v>45658</v>
      </c>
      <c r="L55" s="22">
        <v>46022</v>
      </c>
      <c r="M55" s="20" t="s">
        <v>310</v>
      </c>
      <c r="N55" s="23" t="s">
        <v>1966</v>
      </c>
      <c r="O55" s="23" t="str">
        <f>IFERROR(VLOOKUP($G55,'DB2'!$A:$B,2,0),"공동과책 확인")</f>
        <v>Cho, Hanna</v>
      </c>
      <c r="P55" s="23" t="s">
        <v>1908</v>
      </c>
      <c r="Q55" s="23" t="s">
        <v>1912</v>
      </c>
      <c r="R55" s="23" t="str">
        <f>IFERROR(VLOOKUP($I55,'DB2'!$F$2:$I$50,2,0),"옛날 부서명 확인")</f>
        <v xml:space="preserve">Climate Adaptation Policy Division </v>
      </c>
      <c r="S55" s="23" t="str">
        <f>IFERROR(VLOOKUP($I55,'DB2'!$F$2:$I$50,4,0),"옛날 부서명 확인")</f>
        <v xml:space="preserve">Korea Adaptation Center for Climate Change </v>
      </c>
    </row>
    <row r="56" spans="1:19" ht="22.5" hidden="1" customHeight="1">
      <c r="A56" s="19" t="s">
        <v>329</v>
      </c>
      <c r="B56" s="19" t="s">
        <v>22</v>
      </c>
      <c r="C56" s="19" t="s">
        <v>330</v>
      </c>
      <c r="D56" s="20" t="s">
        <v>331</v>
      </c>
      <c r="E56" s="20"/>
      <c r="F56" s="20" t="s">
        <v>306</v>
      </c>
      <c r="G56" s="19" t="s">
        <v>307</v>
      </c>
      <c r="H56" s="20" t="s">
        <v>308</v>
      </c>
      <c r="I56" s="20" t="s">
        <v>309</v>
      </c>
      <c r="J56" s="21">
        <v>165000000</v>
      </c>
      <c r="K56" s="22">
        <v>45658</v>
      </c>
      <c r="L56" s="22">
        <v>46022</v>
      </c>
      <c r="M56" s="20" t="s">
        <v>310</v>
      </c>
      <c r="N56" s="23" t="s">
        <v>1967</v>
      </c>
      <c r="O56" s="23" t="str">
        <f>IFERROR(VLOOKUP($G56,'DB2'!$A:$B,2,0),"공동과책 확인")</f>
        <v>Jung, Huicheul</v>
      </c>
      <c r="P56" s="23" t="s">
        <v>1908</v>
      </c>
      <c r="Q56" s="23"/>
      <c r="R56" s="23" t="str">
        <f>IFERROR(VLOOKUP($I56,'DB2'!$F$2:$I$50,2,0),"옛날 부서명 확인")</f>
        <v xml:space="preserve">Korea Adaptation Center for Climate Change </v>
      </c>
      <c r="S56" s="23" t="str">
        <f>IFERROR(VLOOKUP($I56,'DB2'!$F$2:$I$50,4,0),"옛날 부서명 확인")</f>
        <v xml:space="preserve">Korea Adaptation Center for Climate Change </v>
      </c>
    </row>
    <row r="57" spans="1:19" ht="22.5" hidden="1" customHeight="1">
      <c r="A57" s="19" t="s">
        <v>332</v>
      </c>
      <c r="B57" s="19" t="s">
        <v>22</v>
      </c>
      <c r="C57" s="19" t="s">
        <v>333</v>
      </c>
      <c r="D57" s="20" t="s">
        <v>334</v>
      </c>
      <c r="E57" s="20"/>
      <c r="F57" s="20" t="s">
        <v>335</v>
      </c>
      <c r="G57" s="19" t="s">
        <v>336</v>
      </c>
      <c r="H57" s="20" t="s">
        <v>211</v>
      </c>
      <c r="I57" s="20" t="s">
        <v>212</v>
      </c>
      <c r="J57" s="21">
        <v>301550000</v>
      </c>
      <c r="K57" s="22">
        <v>45658</v>
      </c>
      <c r="L57" s="22">
        <v>46022</v>
      </c>
      <c r="M57" s="20" t="s">
        <v>337</v>
      </c>
      <c r="N57" s="23" t="s">
        <v>1968</v>
      </c>
      <c r="O57" s="23" t="str">
        <f>IFERROR(VLOOKUP($G57,'DB2'!$A:$B,2,0),"공동과책 확인")</f>
        <v xml:space="preserve">Lee, Seungsoo </v>
      </c>
      <c r="P57" s="23" t="s">
        <v>1906</v>
      </c>
      <c r="Q57" s="23"/>
      <c r="R57" s="23" t="str">
        <f>IFERROR(VLOOKUP($I57,'DB2'!$F$2:$I$50,2,0),"옛날 부서명 확인")</f>
        <v xml:space="preserve">Water Management Division </v>
      </c>
      <c r="S57" s="23" t="str">
        <f>IFERROR(VLOOKUP($I57,'DB2'!$F$2:$I$50,4,0),"옛날 부서명 확인")</f>
        <v xml:space="preserve">Land and Environment Research Group </v>
      </c>
    </row>
    <row r="58" spans="1:19" ht="22.5" hidden="1" customHeight="1">
      <c r="A58" s="19" t="s">
        <v>338</v>
      </c>
      <c r="B58" s="19" t="s">
        <v>22</v>
      </c>
      <c r="C58" s="19" t="s">
        <v>339</v>
      </c>
      <c r="D58" s="20" t="s">
        <v>340</v>
      </c>
      <c r="E58" s="20"/>
      <c r="F58" s="20" t="s">
        <v>219</v>
      </c>
      <c r="G58" s="19" t="s">
        <v>341</v>
      </c>
      <c r="H58" s="20" t="s">
        <v>221</v>
      </c>
      <c r="I58" s="20" t="s">
        <v>222</v>
      </c>
      <c r="J58" s="21">
        <v>2196000000</v>
      </c>
      <c r="K58" s="22">
        <v>45658</v>
      </c>
      <c r="L58" s="22">
        <v>46022</v>
      </c>
      <c r="M58" s="20" t="s">
        <v>146</v>
      </c>
      <c r="N58" s="23" t="s">
        <v>1969</v>
      </c>
      <c r="O58" s="23" t="str">
        <f>IFERROR(VLOOKUP($G58,'DB2'!$A:$B,2,0),"공동과책 확인")</f>
        <v>Yoon, Jeongho</v>
      </c>
      <c r="P58" s="23" t="s">
        <v>1901</v>
      </c>
      <c r="Q58" s="23" t="s">
        <v>1907</v>
      </c>
      <c r="R58" s="23" t="str">
        <f>IFERROR(VLOOKUP($I58,'DB2'!$F$2:$I$50,2,0),"옛날 부서명 확인")</f>
        <v>Spatial Planning and Management Division</v>
      </c>
      <c r="S58" s="23" t="str">
        <f>IFERROR(VLOOKUP($I58,'DB2'!$F$2:$I$50,4,0),"옛날 부서명 확인")</f>
        <v xml:space="preserve">Land and Environment Research Group </v>
      </c>
    </row>
    <row r="59" spans="1:19" ht="22.5" hidden="1" customHeight="1">
      <c r="A59" s="19" t="s">
        <v>342</v>
      </c>
      <c r="B59" s="19" t="s">
        <v>22</v>
      </c>
      <c r="C59" s="19" t="s">
        <v>343</v>
      </c>
      <c r="D59" s="20" t="s">
        <v>344</v>
      </c>
      <c r="E59" s="20"/>
      <c r="F59" s="20" t="s">
        <v>345</v>
      </c>
      <c r="G59" s="19" t="s">
        <v>346</v>
      </c>
      <c r="H59" s="20" t="s">
        <v>347</v>
      </c>
      <c r="I59" s="20" t="s">
        <v>348</v>
      </c>
      <c r="J59" s="21">
        <v>199967501</v>
      </c>
      <c r="K59" s="22">
        <v>45658</v>
      </c>
      <c r="L59" s="22">
        <v>46022</v>
      </c>
      <c r="M59" s="20" t="s">
        <v>77</v>
      </c>
      <c r="N59" s="23" t="s">
        <v>1970</v>
      </c>
      <c r="O59" s="23" t="str">
        <f>IFERROR(VLOOKUP($G59,'DB2'!$A:$B,2,0),"공동과책 확인")</f>
        <v>Chang, Hoon</v>
      </c>
      <c r="P59" s="23" t="s">
        <v>1908</v>
      </c>
      <c r="Q59" s="23" t="s">
        <v>1912</v>
      </c>
      <c r="R59" s="23" t="str">
        <f>IFERROR(VLOOKUP($I59,'DB2'!$F$2:$I$50,2,0),"옛날 부서명 확인")</f>
        <v xml:space="preserve">Climate and Atmospheric Strategy Research Group  </v>
      </c>
      <c r="S59" s="23" t="str">
        <f>IFERROR(VLOOKUP($I59,'DB2'!$F$2:$I$50,4,0),"옛날 부서명 확인")</f>
        <v xml:space="preserve">Climate and Atmospheric Strategy Research Group  </v>
      </c>
    </row>
    <row r="60" spans="1:19" ht="22.5" hidden="1" customHeight="1">
      <c r="A60" s="19" t="s">
        <v>349</v>
      </c>
      <c r="B60" s="19" t="s">
        <v>22</v>
      </c>
      <c r="C60" s="19" t="s">
        <v>350</v>
      </c>
      <c r="D60" s="20" t="s">
        <v>351</v>
      </c>
      <c r="E60" s="20"/>
      <c r="F60" s="20" t="s">
        <v>193</v>
      </c>
      <c r="G60" s="19" t="s">
        <v>194</v>
      </c>
      <c r="H60" s="20" t="s">
        <v>352</v>
      </c>
      <c r="I60" s="20" t="s">
        <v>353</v>
      </c>
      <c r="J60" s="21">
        <v>249984000</v>
      </c>
      <c r="K60" s="22">
        <v>45658</v>
      </c>
      <c r="L60" s="22">
        <v>46022</v>
      </c>
      <c r="M60" s="20" t="s">
        <v>354</v>
      </c>
      <c r="N60" s="23" t="s">
        <v>1971</v>
      </c>
      <c r="O60" s="23" t="str">
        <f>IFERROR(VLOOKUP($G60,'DB2'!$A:$B,2,0),"공동과책 확인")</f>
        <v>Kim, Hyunno</v>
      </c>
      <c r="P60" s="23" t="s">
        <v>1910</v>
      </c>
      <c r="Q60" s="23" t="s">
        <v>1902</v>
      </c>
      <c r="R60" s="23" t="str">
        <f>IFERROR(VLOOKUP($I60,'DB2'!$F$2:$I$50,2,0),"옛날 부서명 확인")</f>
        <v xml:space="preserve">Green Economy Division </v>
      </c>
      <c r="S60" s="23" t="str">
        <f>IFERROR(VLOOKUP($I60,'DB2'!$F$2:$I$50,4,0),"옛날 부서명 확인")</f>
        <v xml:space="preserve">Climate and Atmospheric Strategy Research Group  </v>
      </c>
    </row>
    <row r="61" spans="1:19" ht="22.5" hidden="1" customHeight="1">
      <c r="A61" s="19" t="s">
        <v>355</v>
      </c>
      <c r="B61" s="19" t="s">
        <v>22</v>
      </c>
      <c r="C61" s="19" t="s">
        <v>356</v>
      </c>
      <c r="D61" s="20" t="s">
        <v>357</v>
      </c>
      <c r="E61" s="20"/>
      <c r="F61" s="20" t="s">
        <v>38</v>
      </c>
      <c r="G61" s="19" t="s">
        <v>39</v>
      </c>
      <c r="H61" s="20" t="s">
        <v>40</v>
      </c>
      <c r="I61" s="20" t="s">
        <v>41</v>
      </c>
      <c r="J61" s="21">
        <v>450000000</v>
      </c>
      <c r="K61" s="22">
        <v>45658</v>
      </c>
      <c r="L61" s="22">
        <v>46022</v>
      </c>
      <c r="M61" s="20" t="s">
        <v>358</v>
      </c>
      <c r="N61" s="23" t="s">
        <v>1972</v>
      </c>
      <c r="O61" s="23" t="str">
        <f>IFERROR(VLOOKUP($G61,'DB2'!$A:$B,2,0),"공동과책 확인")</f>
        <v>Cho, Kongjang</v>
      </c>
      <c r="P61" s="23" t="s">
        <v>1911</v>
      </c>
      <c r="Q61" s="23" t="s">
        <v>1913</v>
      </c>
      <c r="R61" s="23" t="str">
        <f>IFERROR(VLOOKUP($I61,'DB2'!$F$2:$I$50,2,0),"옛날 부서명 확인")</f>
        <v xml:space="preserve">Living Environment and Society Division </v>
      </c>
      <c r="S61" s="23" t="str">
        <f>IFERROR(VLOOKUP($I61,'DB2'!$F$2:$I$50,4,0),"옛날 부서명 확인")</f>
        <v xml:space="preserve">Sustainable Development Research Group  </v>
      </c>
    </row>
    <row r="62" spans="1:19" ht="22.5" hidden="1" customHeight="1">
      <c r="A62" s="19" t="s">
        <v>359</v>
      </c>
      <c r="B62" s="19" t="s">
        <v>22</v>
      </c>
      <c r="C62" s="19" t="s">
        <v>360</v>
      </c>
      <c r="D62" s="20" t="s">
        <v>361</v>
      </c>
      <c r="E62" s="20"/>
      <c r="F62" s="20" t="s">
        <v>362</v>
      </c>
      <c r="G62" s="19" t="s">
        <v>363</v>
      </c>
      <c r="H62" s="20" t="s">
        <v>364</v>
      </c>
      <c r="I62" s="20" t="s">
        <v>204</v>
      </c>
      <c r="J62" s="21">
        <v>130000000</v>
      </c>
      <c r="K62" s="22">
        <v>45658</v>
      </c>
      <c r="L62" s="22">
        <v>46022</v>
      </c>
      <c r="M62" s="20" t="s">
        <v>365</v>
      </c>
      <c r="N62" s="23" t="s">
        <v>1973</v>
      </c>
      <c r="O62" s="23" t="str">
        <f>IFERROR(VLOOKUP($G62,'DB2'!$A:$B,2,0),"공동과책 확인")</f>
        <v>공동과책 확인</v>
      </c>
      <c r="P62" s="23" t="s">
        <v>1904</v>
      </c>
      <c r="Q62" s="23" t="s">
        <v>1913</v>
      </c>
      <c r="R62" s="23" t="str">
        <f>IFERROR(VLOOKUP($I62,'DB2'!$F$2:$I$50,2,0),"옛날 부서명 확인")</f>
        <v>Atmospheric Environment Division</v>
      </c>
      <c r="S62" s="23" t="str">
        <f>IFERROR(VLOOKUP($I62,'DB2'!$F$2:$I$50,4,0),"옛날 부서명 확인")</f>
        <v xml:space="preserve">Climate and Atmospheric Strategy Research Group  </v>
      </c>
    </row>
    <row r="63" spans="1:19" ht="22.5" hidden="1" customHeight="1">
      <c r="A63" s="19" t="s">
        <v>366</v>
      </c>
      <c r="B63" s="19" t="s">
        <v>22</v>
      </c>
      <c r="C63" s="19" t="s">
        <v>367</v>
      </c>
      <c r="D63" s="20" t="s">
        <v>368</v>
      </c>
      <c r="E63" s="20"/>
      <c r="F63" s="20" t="s">
        <v>369</v>
      </c>
      <c r="G63" s="19" t="s">
        <v>370</v>
      </c>
      <c r="H63" s="20" t="s">
        <v>33</v>
      </c>
      <c r="I63" s="20" t="s">
        <v>28</v>
      </c>
      <c r="J63" s="21">
        <v>1181000000</v>
      </c>
      <c r="K63" s="22">
        <v>45658</v>
      </c>
      <c r="L63" s="22">
        <v>46022</v>
      </c>
      <c r="M63" s="20" t="s">
        <v>371</v>
      </c>
      <c r="N63" s="23" t="s">
        <v>1974</v>
      </c>
      <c r="O63" s="23" t="str">
        <f>IFERROR(VLOOKUP($G63,'DB2'!$A:$B,2,0),"공동과책 확인")</f>
        <v>Kim, Choong-ki</v>
      </c>
      <c r="P63" s="23" t="s">
        <v>1909</v>
      </c>
      <c r="Q63" s="23" t="s">
        <v>1904</v>
      </c>
      <c r="R63" s="23" t="str">
        <f>IFERROR(VLOOKUP($I63,'DB2'!$F$2:$I$50,2,0),"옛날 부서명 확인")</f>
        <v xml:space="preserve">Natural Environment Division </v>
      </c>
      <c r="S63" s="23" t="str">
        <f>IFERROR(VLOOKUP($I63,'DB2'!$F$2:$I$50,4,0),"옛날 부서명 확인")</f>
        <v xml:space="preserve">Land and Environment Research Group </v>
      </c>
    </row>
    <row r="64" spans="1:19" ht="22.5" hidden="1" customHeight="1">
      <c r="A64" s="19" t="s">
        <v>377</v>
      </c>
      <c r="B64" s="19" t="s">
        <v>22</v>
      </c>
      <c r="C64" s="19" t="s">
        <v>378</v>
      </c>
      <c r="D64" s="20" t="s">
        <v>379</v>
      </c>
      <c r="E64" s="20"/>
      <c r="F64" s="20" t="s">
        <v>375</v>
      </c>
      <c r="G64" s="19" t="s">
        <v>376</v>
      </c>
      <c r="H64" s="20" t="s">
        <v>316</v>
      </c>
      <c r="I64" s="20" t="s">
        <v>317</v>
      </c>
      <c r="J64" s="21">
        <v>558000000</v>
      </c>
      <c r="K64" s="22">
        <v>45658</v>
      </c>
      <c r="L64" s="22">
        <v>46022</v>
      </c>
      <c r="M64" s="20" t="s">
        <v>354</v>
      </c>
      <c r="N64" s="23" t="s">
        <v>1975</v>
      </c>
      <c r="O64" s="23" t="str">
        <f>IFERROR(VLOOKUP($G64,'DB2'!$A:$B,2,0),"공동과책 확인")</f>
        <v>Song, Youngil</v>
      </c>
      <c r="P64" s="23" t="s">
        <v>1908</v>
      </c>
      <c r="Q64" s="23" t="s">
        <v>1904</v>
      </c>
      <c r="R64" s="23" t="str">
        <f>IFERROR(VLOOKUP($I64,'DB2'!$F$2:$I$50,2,0),"옛날 부서명 확인")</f>
        <v xml:space="preserve">Climate Adaptation Policy Division </v>
      </c>
      <c r="S64" s="23" t="str">
        <f>IFERROR(VLOOKUP($I64,'DB2'!$F$2:$I$50,4,0),"옛날 부서명 확인")</f>
        <v xml:space="preserve">Korea Adaptation Center for Climate Change </v>
      </c>
    </row>
    <row r="65" spans="1:19" ht="22.5" hidden="1" customHeight="1">
      <c r="A65" s="19" t="s">
        <v>380</v>
      </c>
      <c r="B65" s="19" t="s">
        <v>22</v>
      </c>
      <c r="C65" s="19" t="s">
        <v>381</v>
      </c>
      <c r="D65" s="20" t="s">
        <v>382</v>
      </c>
      <c r="E65" s="20"/>
      <c r="F65" s="20" t="s">
        <v>383</v>
      </c>
      <c r="G65" s="19" t="s">
        <v>384</v>
      </c>
      <c r="H65" s="20" t="s">
        <v>211</v>
      </c>
      <c r="I65" s="20" t="s">
        <v>212</v>
      </c>
      <c r="J65" s="21">
        <v>40400000</v>
      </c>
      <c r="K65" s="22">
        <v>45658</v>
      </c>
      <c r="L65" s="22">
        <v>46022</v>
      </c>
      <c r="M65" s="20" t="s">
        <v>354</v>
      </c>
      <c r="N65" s="23" t="s">
        <v>1976</v>
      </c>
      <c r="O65" s="23" t="str">
        <f>IFERROR(VLOOKUP($G65,'DB2'!$A:$B,2,0),"공동과책 확인")</f>
        <v>Ahn, Jongho</v>
      </c>
      <c r="P65" s="23" t="s">
        <v>1906</v>
      </c>
      <c r="Q65" s="23" t="s">
        <v>1908</v>
      </c>
      <c r="R65" s="23" t="str">
        <f>IFERROR(VLOOKUP($I65,'DB2'!$F$2:$I$50,2,0),"옛날 부서명 확인")</f>
        <v xml:space="preserve">Water Management Division </v>
      </c>
      <c r="S65" s="23" t="str">
        <f>IFERROR(VLOOKUP($I65,'DB2'!$F$2:$I$50,4,0),"옛날 부서명 확인")</f>
        <v xml:space="preserve">Land and Environment Research Group </v>
      </c>
    </row>
    <row r="66" spans="1:19" ht="22.5" hidden="1" customHeight="1">
      <c r="A66" s="19" t="s">
        <v>385</v>
      </c>
      <c r="B66" s="19" t="s">
        <v>22</v>
      </c>
      <c r="C66" s="19" t="s">
        <v>386</v>
      </c>
      <c r="D66" s="20" t="s">
        <v>387</v>
      </c>
      <c r="E66" s="20"/>
      <c r="F66" s="20" t="s">
        <v>345</v>
      </c>
      <c r="G66" s="19" t="s">
        <v>346</v>
      </c>
      <c r="H66" s="20" t="s">
        <v>347</v>
      </c>
      <c r="I66" s="20" t="s">
        <v>348</v>
      </c>
      <c r="J66" s="21">
        <v>280700000</v>
      </c>
      <c r="K66" s="22">
        <v>45658</v>
      </c>
      <c r="L66" s="22">
        <v>46022</v>
      </c>
      <c r="M66" s="20" t="s">
        <v>354</v>
      </c>
      <c r="N66" s="23" t="s">
        <v>1977</v>
      </c>
      <c r="O66" s="23" t="str">
        <f>IFERROR(VLOOKUP($G66,'DB2'!$A:$B,2,0),"공동과책 확인")</f>
        <v>Chang, Hoon</v>
      </c>
      <c r="P66" s="23" t="s">
        <v>1913</v>
      </c>
      <c r="Q66" s="23" t="s">
        <v>1912</v>
      </c>
      <c r="R66" s="23" t="str">
        <f>IFERROR(VLOOKUP($I66,'DB2'!$F$2:$I$50,2,0),"옛날 부서명 확인")</f>
        <v xml:space="preserve">Climate and Atmospheric Strategy Research Group  </v>
      </c>
      <c r="S66" s="23" t="str">
        <f>IFERROR(VLOOKUP($I66,'DB2'!$F$2:$I$50,4,0),"옛날 부서명 확인")</f>
        <v xml:space="preserve">Climate and Atmospheric Strategy Research Group  </v>
      </c>
    </row>
    <row r="67" spans="1:19" ht="22.5" hidden="1" customHeight="1">
      <c r="A67" s="19" t="s">
        <v>388</v>
      </c>
      <c r="B67" s="19" t="s">
        <v>22</v>
      </c>
      <c r="C67" s="19" t="s">
        <v>389</v>
      </c>
      <c r="D67" s="20" t="s">
        <v>390</v>
      </c>
      <c r="E67" s="20"/>
      <c r="F67" s="20" t="s">
        <v>306</v>
      </c>
      <c r="G67" s="19" t="s">
        <v>307</v>
      </c>
      <c r="H67" s="20" t="s">
        <v>308</v>
      </c>
      <c r="I67" s="20" t="s">
        <v>309</v>
      </c>
      <c r="J67" s="21">
        <v>299000000</v>
      </c>
      <c r="K67" s="22">
        <v>45658</v>
      </c>
      <c r="L67" s="22">
        <v>46022</v>
      </c>
      <c r="M67" s="20" t="s">
        <v>354</v>
      </c>
      <c r="N67" s="23" t="s">
        <v>1978</v>
      </c>
      <c r="O67" s="23" t="str">
        <f>IFERROR(VLOOKUP($G67,'DB2'!$A:$B,2,0),"공동과책 확인")</f>
        <v>Jung, Huicheul</v>
      </c>
      <c r="P67" s="23" t="s">
        <v>1908</v>
      </c>
      <c r="Q67" s="23" t="s">
        <v>1904</v>
      </c>
      <c r="R67" s="23" t="str">
        <f>IFERROR(VLOOKUP($I67,'DB2'!$F$2:$I$50,2,0),"옛날 부서명 확인")</f>
        <v xml:space="preserve">Korea Adaptation Center for Climate Change </v>
      </c>
      <c r="S67" s="23" t="str">
        <f>IFERROR(VLOOKUP($I67,'DB2'!$F$2:$I$50,4,0),"옛날 부서명 확인")</f>
        <v xml:space="preserve">Korea Adaptation Center for Climate Change </v>
      </c>
    </row>
    <row r="68" spans="1:19" ht="22.5" hidden="1" customHeight="1">
      <c r="A68" s="19" t="s">
        <v>391</v>
      </c>
      <c r="B68" s="19" t="s">
        <v>22</v>
      </c>
      <c r="C68" s="19" t="s">
        <v>392</v>
      </c>
      <c r="D68" s="20" t="s">
        <v>393</v>
      </c>
      <c r="E68" s="20"/>
      <c r="F68" s="20" t="s">
        <v>238</v>
      </c>
      <c r="G68" s="19" t="s">
        <v>239</v>
      </c>
      <c r="H68" s="20" t="s">
        <v>257</v>
      </c>
      <c r="I68" s="20" t="s">
        <v>156</v>
      </c>
      <c r="J68" s="21">
        <v>150000000</v>
      </c>
      <c r="K68" s="22">
        <v>45658</v>
      </c>
      <c r="L68" s="22">
        <v>46022</v>
      </c>
      <c r="M68" s="20" t="s">
        <v>354</v>
      </c>
      <c r="N68" s="23" t="s">
        <v>1979</v>
      </c>
      <c r="O68" s="23" t="str">
        <f>IFERROR(VLOOKUP($G68,'DB2'!$A:$B,2,0),"공동과책 확인")</f>
        <v xml:space="preserve">Jung, Dawoon </v>
      </c>
      <c r="P68" s="23" t="s">
        <v>1903</v>
      </c>
      <c r="Q68" s="23"/>
      <c r="R68" s="23" t="str">
        <f>IFERROR(VLOOKUP($I68,'DB2'!$F$2:$I$50,2,0),"옛날 부서명 확인")</f>
        <v xml:space="preserve">Environmental Health Division </v>
      </c>
      <c r="S68" s="23" t="str">
        <f>IFERROR(VLOOKUP($I68,'DB2'!$F$2:$I$50,4,0),"옛날 부서명 확인")</f>
        <v xml:space="preserve">Sustainable Development Research Group  </v>
      </c>
    </row>
    <row r="69" spans="1:19" ht="22.5" hidden="1" customHeight="1">
      <c r="A69" s="19" t="s">
        <v>394</v>
      </c>
      <c r="B69" s="19" t="s">
        <v>22</v>
      </c>
      <c r="C69" s="19" t="s">
        <v>395</v>
      </c>
      <c r="D69" s="20" t="s">
        <v>396</v>
      </c>
      <c r="E69" s="20"/>
      <c r="F69" s="20" t="s">
        <v>209</v>
      </c>
      <c r="G69" s="19" t="s">
        <v>210</v>
      </c>
      <c r="H69" s="20" t="s">
        <v>211</v>
      </c>
      <c r="I69" s="20" t="s">
        <v>212</v>
      </c>
      <c r="J69" s="21">
        <v>182000000</v>
      </c>
      <c r="K69" s="22">
        <v>45658</v>
      </c>
      <c r="L69" s="22">
        <v>46022</v>
      </c>
      <c r="M69" s="20" t="s">
        <v>354</v>
      </c>
      <c r="N69" s="23" t="s">
        <v>1980</v>
      </c>
      <c r="O69" s="23" t="str">
        <f>IFERROR(VLOOKUP($G69,'DB2'!$A:$B,2,0),"공동과책 확인")</f>
        <v>Lee, Moonhwan</v>
      </c>
      <c r="P69" s="23" t="s">
        <v>1906</v>
      </c>
      <c r="Q69" s="23" t="s">
        <v>1910</v>
      </c>
      <c r="R69" s="23" t="str">
        <f>IFERROR(VLOOKUP($I69,'DB2'!$F$2:$I$50,2,0),"옛날 부서명 확인")</f>
        <v xml:space="preserve">Water Management Division </v>
      </c>
      <c r="S69" s="23" t="str">
        <f>IFERROR(VLOOKUP($I69,'DB2'!$F$2:$I$50,4,0),"옛날 부서명 확인")</f>
        <v xml:space="preserve">Land and Environment Research Group </v>
      </c>
    </row>
    <row r="70" spans="1:19" ht="22.5" hidden="1" customHeight="1">
      <c r="A70" s="19" t="s">
        <v>397</v>
      </c>
      <c r="B70" s="19" t="s">
        <v>22</v>
      </c>
      <c r="C70" s="19" t="s">
        <v>398</v>
      </c>
      <c r="D70" s="20" t="s">
        <v>399</v>
      </c>
      <c r="E70" s="20"/>
      <c r="F70" s="20" t="s">
        <v>400</v>
      </c>
      <c r="G70" s="19" t="s">
        <v>401</v>
      </c>
      <c r="H70" s="20" t="s">
        <v>221</v>
      </c>
      <c r="I70" s="20" t="s">
        <v>222</v>
      </c>
      <c r="J70" s="21">
        <v>300000000</v>
      </c>
      <c r="K70" s="22">
        <v>45658</v>
      </c>
      <c r="L70" s="22">
        <v>46022</v>
      </c>
      <c r="M70" s="20" t="s">
        <v>402</v>
      </c>
      <c r="N70" s="23" t="s">
        <v>1981</v>
      </c>
      <c r="O70" s="23" t="str">
        <f>IFERROR(VLOOKUP($G70,'DB2'!$A:$B,2,0),"공동과책 확인")</f>
        <v xml:space="preserve">Kim, Geunhan </v>
      </c>
      <c r="P70" s="23" t="s">
        <v>1901</v>
      </c>
      <c r="Q70" s="23" t="s">
        <v>1913</v>
      </c>
      <c r="R70" s="23" t="str">
        <f>IFERROR(VLOOKUP($I70,'DB2'!$F$2:$I$50,2,0),"옛날 부서명 확인")</f>
        <v>Spatial Planning and Management Division</v>
      </c>
      <c r="S70" s="23" t="str">
        <f>IFERROR(VLOOKUP($I70,'DB2'!$F$2:$I$50,4,0),"옛날 부서명 확인")</f>
        <v xml:space="preserve">Land and Environment Research Group </v>
      </c>
    </row>
    <row r="71" spans="1:19" ht="22.5" hidden="1" customHeight="1">
      <c r="A71" s="19" t="s">
        <v>403</v>
      </c>
      <c r="B71" s="19" t="s">
        <v>22</v>
      </c>
      <c r="C71" s="19" t="s">
        <v>404</v>
      </c>
      <c r="D71" s="20" t="s">
        <v>405</v>
      </c>
      <c r="E71" s="20"/>
      <c r="F71" s="20" t="s">
        <v>117</v>
      </c>
      <c r="G71" s="19" t="s">
        <v>118</v>
      </c>
      <c r="H71" s="20" t="s">
        <v>33</v>
      </c>
      <c r="I71" s="20" t="s">
        <v>28</v>
      </c>
      <c r="J71" s="21">
        <v>138600000</v>
      </c>
      <c r="K71" s="22">
        <v>45658</v>
      </c>
      <c r="L71" s="22">
        <v>46022</v>
      </c>
      <c r="M71" s="20" t="s">
        <v>354</v>
      </c>
      <c r="N71" s="23" t="s">
        <v>1982</v>
      </c>
      <c r="O71" s="23" t="str">
        <f>IFERROR(VLOOKUP($G71,'DB2'!$A:$B,2,0),"공동과책 확인")</f>
        <v>Myeong, Soojeong</v>
      </c>
      <c r="P71" s="23" t="s">
        <v>1902</v>
      </c>
      <c r="Q71" s="23" t="s">
        <v>1908</v>
      </c>
      <c r="R71" s="23" t="str">
        <f>IFERROR(VLOOKUP($I71,'DB2'!$F$2:$I$50,2,0),"옛날 부서명 확인")</f>
        <v xml:space="preserve">Natural Environment Division </v>
      </c>
      <c r="S71" s="23" t="str">
        <f>IFERROR(VLOOKUP($I71,'DB2'!$F$2:$I$50,4,0),"옛날 부서명 확인")</f>
        <v xml:space="preserve">Land and Environment Research Group </v>
      </c>
    </row>
    <row r="72" spans="1:19" ht="22.5" hidden="1" customHeight="1">
      <c r="A72" s="19" t="s">
        <v>406</v>
      </c>
      <c r="B72" s="19" t="s">
        <v>22</v>
      </c>
      <c r="C72" s="19" t="s">
        <v>407</v>
      </c>
      <c r="D72" s="20" t="s">
        <v>408</v>
      </c>
      <c r="E72" s="20"/>
      <c r="F72" s="20" t="s">
        <v>409</v>
      </c>
      <c r="G72" s="19" t="s">
        <v>410</v>
      </c>
      <c r="H72" s="20" t="s">
        <v>411</v>
      </c>
      <c r="I72" s="20" t="s">
        <v>412</v>
      </c>
      <c r="J72" s="21">
        <v>80742060</v>
      </c>
      <c r="K72" s="22">
        <v>45735</v>
      </c>
      <c r="L72" s="22">
        <v>46099</v>
      </c>
      <c r="M72" s="20" t="s">
        <v>183</v>
      </c>
      <c r="N72" s="23" t="s">
        <v>1983</v>
      </c>
      <c r="O72" s="23" t="str">
        <f>IFERROR(VLOOKUP($G72,'DB2'!$A:$B,2,0),"공동과책 확인")</f>
        <v>Lee, Sunmin</v>
      </c>
      <c r="P72" s="23" t="s">
        <v>1906</v>
      </c>
      <c r="Q72" s="23" t="s">
        <v>1904</v>
      </c>
      <c r="R72" s="23" t="str">
        <f>IFERROR(VLOOKUP($I72,'DB2'!$F$2:$I$50,2,0),"옛날 부서명 확인")</f>
        <v xml:space="preserve">Social Infrastructure Assessment Division </v>
      </c>
      <c r="S72" s="23" t="str">
        <f>IFERROR(VLOOKUP($I72,'DB2'!$F$2:$I$50,4,0),"옛날 부서명 확인")</f>
        <v xml:space="preserve">Environmental Assessment Group </v>
      </c>
    </row>
    <row r="73" spans="1:19" ht="22.5" hidden="1" customHeight="1">
      <c r="A73" s="19" t="s">
        <v>413</v>
      </c>
      <c r="B73" s="19" t="s">
        <v>22</v>
      </c>
      <c r="C73" s="19" t="s">
        <v>414</v>
      </c>
      <c r="D73" s="20" t="s">
        <v>415</v>
      </c>
      <c r="E73" s="20"/>
      <c r="F73" s="20" t="s">
        <v>209</v>
      </c>
      <c r="G73" s="19" t="s">
        <v>210</v>
      </c>
      <c r="H73" s="20" t="s">
        <v>211</v>
      </c>
      <c r="I73" s="20" t="s">
        <v>212</v>
      </c>
      <c r="J73" s="21">
        <v>258000000</v>
      </c>
      <c r="K73" s="22">
        <v>45658</v>
      </c>
      <c r="L73" s="22">
        <v>46022</v>
      </c>
      <c r="M73" s="20" t="s">
        <v>416</v>
      </c>
      <c r="N73" s="23" t="s">
        <v>1984</v>
      </c>
      <c r="O73" s="23" t="str">
        <f>IFERROR(VLOOKUP($G73,'DB2'!$A:$B,2,0),"공동과책 확인")</f>
        <v>Lee, Moonhwan</v>
      </c>
      <c r="P73" s="23" t="s">
        <v>1906</v>
      </c>
      <c r="Q73" s="23" t="s">
        <v>1904</v>
      </c>
      <c r="R73" s="23" t="str">
        <f>IFERROR(VLOOKUP($I73,'DB2'!$F$2:$I$50,2,0),"옛날 부서명 확인")</f>
        <v xml:space="preserve">Water Management Division </v>
      </c>
      <c r="S73" s="23" t="str">
        <f>IFERROR(VLOOKUP($I73,'DB2'!$F$2:$I$50,4,0),"옛날 부서명 확인")</f>
        <v xml:space="preserve">Land and Environment Research Group </v>
      </c>
    </row>
    <row r="74" spans="1:19" ht="22.5" hidden="1" customHeight="1">
      <c r="A74" s="19" t="s">
        <v>417</v>
      </c>
      <c r="B74" s="19" t="s">
        <v>22</v>
      </c>
      <c r="C74" s="19" t="s">
        <v>418</v>
      </c>
      <c r="D74" s="20" t="s">
        <v>419</v>
      </c>
      <c r="E74" s="20"/>
      <c r="F74" s="20" t="s">
        <v>117</v>
      </c>
      <c r="G74" s="19" t="s">
        <v>118</v>
      </c>
      <c r="H74" s="20" t="s">
        <v>33</v>
      </c>
      <c r="I74" s="20" t="s">
        <v>28</v>
      </c>
      <c r="J74" s="21">
        <v>100000000</v>
      </c>
      <c r="K74" s="22">
        <v>45658</v>
      </c>
      <c r="L74" s="22">
        <v>46022</v>
      </c>
      <c r="M74" s="20" t="s">
        <v>354</v>
      </c>
      <c r="N74" s="23" t="s">
        <v>1985</v>
      </c>
      <c r="O74" s="23" t="str">
        <f>IFERROR(VLOOKUP($G74,'DB2'!$A:$B,2,0),"공동과책 확인")</f>
        <v>Myeong, Soojeong</v>
      </c>
      <c r="P74" s="23" t="s">
        <v>1913</v>
      </c>
      <c r="Q74" s="23" t="s">
        <v>1902</v>
      </c>
      <c r="R74" s="23" t="str">
        <f>IFERROR(VLOOKUP($I74,'DB2'!$F$2:$I$50,2,0),"옛날 부서명 확인")</f>
        <v xml:space="preserve">Natural Environment Division </v>
      </c>
      <c r="S74" s="23" t="str">
        <f>IFERROR(VLOOKUP($I74,'DB2'!$F$2:$I$50,4,0),"옛날 부서명 확인")</f>
        <v xml:space="preserve">Land and Environment Research Group </v>
      </c>
    </row>
    <row r="75" spans="1:19" ht="22.5" hidden="1" customHeight="1">
      <c r="A75" s="19" t="s">
        <v>420</v>
      </c>
      <c r="B75" s="19" t="s">
        <v>22</v>
      </c>
      <c r="C75" s="19" t="s">
        <v>421</v>
      </c>
      <c r="D75" s="20" t="s">
        <v>422</v>
      </c>
      <c r="E75" s="20"/>
      <c r="F75" s="20" t="s">
        <v>89</v>
      </c>
      <c r="G75" s="19" t="s">
        <v>90</v>
      </c>
      <c r="H75" s="20" t="s">
        <v>423</v>
      </c>
      <c r="I75" s="20" t="s">
        <v>424</v>
      </c>
      <c r="J75" s="21">
        <v>110000000</v>
      </c>
      <c r="K75" s="22">
        <v>45658</v>
      </c>
      <c r="L75" s="22">
        <v>46022</v>
      </c>
      <c r="M75" s="20" t="s">
        <v>371</v>
      </c>
      <c r="N75" s="23" t="s">
        <v>1986</v>
      </c>
      <c r="O75" s="23" t="str">
        <f>IFERROR(VLOOKUP($G75,'DB2'!$A:$B,2,0),"공동과책 확인")</f>
        <v>Kim, Taeyun</v>
      </c>
      <c r="P75" s="23" t="s">
        <v>1907</v>
      </c>
      <c r="Q75" s="23" t="s">
        <v>1909</v>
      </c>
      <c r="R75" s="23" t="str">
        <f>IFERROR(VLOOKUP($I75,'DB2'!$F$2:$I$50,2,0),"옛날 부서명 확인")</f>
        <v xml:space="preserve">Climate and Energy Assessment Division </v>
      </c>
      <c r="S75" s="23" t="str">
        <f>IFERROR(VLOOKUP($I75,'DB2'!$F$2:$I$50,4,0),"옛날 부서명 확인")</f>
        <v xml:space="preserve">Environmental Assessment Group </v>
      </c>
    </row>
    <row r="76" spans="1:19" ht="22.5" hidden="1" customHeight="1">
      <c r="A76" s="19" t="s">
        <v>425</v>
      </c>
      <c r="B76" s="19" t="s">
        <v>22</v>
      </c>
      <c r="C76" s="19" t="s">
        <v>426</v>
      </c>
      <c r="D76" s="20" t="s">
        <v>427</v>
      </c>
      <c r="E76" s="20"/>
      <c r="F76" s="20" t="s">
        <v>428</v>
      </c>
      <c r="G76" s="19" t="s">
        <v>429</v>
      </c>
      <c r="H76" s="20" t="s">
        <v>364</v>
      </c>
      <c r="I76" s="20" t="s">
        <v>204</v>
      </c>
      <c r="J76" s="21">
        <v>160000000</v>
      </c>
      <c r="K76" s="22">
        <v>45658</v>
      </c>
      <c r="L76" s="22">
        <v>46022</v>
      </c>
      <c r="M76" s="20" t="s">
        <v>354</v>
      </c>
      <c r="N76" s="23" t="s">
        <v>1987</v>
      </c>
      <c r="O76" s="23" t="str">
        <f>IFERROR(VLOOKUP($G76,'DB2'!$A:$B,2,0),"공동과책 확인")</f>
        <v>Lee, Seungmin</v>
      </c>
      <c r="P76" s="23" t="s">
        <v>1913</v>
      </c>
      <c r="Q76" s="23" t="s">
        <v>1904</v>
      </c>
      <c r="R76" s="23" t="str">
        <f>IFERROR(VLOOKUP($I76,'DB2'!$F$2:$I$50,2,0),"옛날 부서명 확인")</f>
        <v>Atmospheric Environment Division</v>
      </c>
      <c r="S76" s="23" t="str">
        <f>IFERROR(VLOOKUP($I76,'DB2'!$F$2:$I$50,4,0),"옛날 부서명 확인")</f>
        <v xml:space="preserve">Climate and Atmospheric Strategy Research Group  </v>
      </c>
    </row>
    <row r="77" spans="1:19" ht="22.5" hidden="1" customHeight="1">
      <c r="A77" s="19" t="s">
        <v>430</v>
      </c>
      <c r="B77" s="19" t="s">
        <v>22</v>
      </c>
      <c r="C77" s="19" t="s">
        <v>431</v>
      </c>
      <c r="D77" s="20" t="s">
        <v>432</v>
      </c>
      <c r="E77" s="20"/>
      <c r="F77" s="20" t="s">
        <v>201</v>
      </c>
      <c r="G77" s="19" t="s">
        <v>202</v>
      </c>
      <c r="H77" s="20" t="s">
        <v>203</v>
      </c>
      <c r="I77" s="20" t="s">
        <v>204</v>
      </c>
      <c r="J77" s="21">
        <v>15000000</v>
      </c>
      <c r="K77" s="22">
        <v>45658</v>
      </c>
      <c r="L77" s="22">
        <v>45747</v>
      </c>
      <c r="M77" s="20" t="s">
        <v>62</v>
      </c>
      <c r="N77" s="23" t="s">
        <v>1988</v>
      </c>
      <c r="O77" s="23" t="str">
        <f>IFERROR(VLOOKUP($G77,'DB2'!$A:$B,2,0),"공동과책 확인")</f>
        <v>Gong, Sungyong</v>
      </c>
      <c r="P77" s="23" t="s">
        <v>1905</v>
      </c>
      <c r="Q77" s="23"/>
      <c r="R77" s="23" t="str">
        <f>IFERROR(VLOOKUP($I77,'DB2'!$F$2:$I$50,2,0),"옛날 부서명 확인")</f>
        <v>Atmospheric Environment Division</v>
      </c>
      <c r="S77" s="23" t="str">
        <f>IFERROR(VLOOKUP($I77,'DB2'!$F$2:$I$50,4,0),"옛날 부서명 확인")</f>
        <v xml:space="preserve">Climate and Atmospheric Strategy Research Group  </v>
      </c>
    </row>
    <row r="78" spans="1:19" ht="22.5" hidden="1" customHeight="1">
      <c r="A78" s="19" t="s">
        <v>433</v>
      </c>
      <c r="B78" s="19" t="s">
        <v>22</v>
      </c>
      <c r="C78" s="19" t="s">
        <v>434</v>
      </c>
      <c r="D78" s="20" t="s">
        <v>435</v>
      </c>
      <c r="E78" s="20"/>
      <c r="F78" s="20" t="s">
        <v>436</v>
      </c>
      <c r="G78" s="19" t="s">
        <v>437</v>
      </c>
      <c r="H78" s="20" t="s">
        <v>438</v>
      </c>
      <c r="I78" s="20" t="s">
        <v>439</v>
      </c>
      <c r="J78" s="21">
        <v>127272730</v>
      </c>
      <c r="K78" s="22">
        <v>45672</v>
      </c>
      <c r="L78" s="22">
        <v>46095</v>
      </c>
      <c r="M78" s="20" t="s">
        <v>440</v>
      </c>
      <c r="N78" s="23" t="s">
        <v>1989</v>
      </c>
      <c r="O78" s="23" t="str">
        <f>IFERROR(VLOOKUP($G78,'DB2'!$A:$B,2,0),"공동과책 확인")</f>
        <v>Baek, Donghae</v>
      </c>
      <c r="P78" s="23" t="s">
        <v>1902</v>
      </c>
      <c r="Q78" s="23" t="s">
        <v>1906</v>
      </c>
      <c r="R78" s="23" t="str">
        <f>IFERROR(VLOOKUP($I78,'DB2'!$F$2:$I$50,2,0),"옛날 부서명 확인")</f>
        <v xml:space="preserve">Land Strategy Assessment Division </v>
      </c>
      <c r="S78" s="23" t="str">
        <f>IFERROR(VLOOKUP($I78,'DB2'!$F$2:$I$50,4,0),"옛날 부서명 확인")</f>
        <v xml:space="preserve">Environmental Assessment Group </v>
      </c>
    </row>
    <row r="79" spans="1:19" ht="22.5" hidden="1" customHeight="1">
      <c r="A79" s="19" t="s">
        <v>441</v>
      </c>
      <c r="B79" s="19" t="s">
        <v>22</v>
      </c>
      <c r="C79" s="19" t="s">
        <v>442</v>
      </c>
      <c r="D79" s="20" t="s">
        <v>443</v>
      </c>
      <c r="E79" s="20"/>
      <c r="F79" s="20" t="s">
        <v>292</v>
      </c>
      <c r="G79" s="19" t="s">
        <v>293</v>
      </c>
      <c r="H79" s="20" t="s">
        <v>211</v>
      </c>
      <c r="I79" s="20" t="s">
        <v>212</v>
      </c>
      <c r="J79" s="21">
        <v>98259300</v>
      </c>
      <c r="K79" s="22">
        <v>45674</v>
      </c>
      <c r="L79" s="22">
        <v>45972</v>
      </c>
      <c r="M79" s="20" t="s">
        <v>49</v>
      </c>
      <c r="N79" s="23" t="s">
        <v>1990</v>
      </c>
      <c r="O79" s="23" t="str">
        <f>IFERROR(VLOOKUP($G79,'DB2'!$A:$B,2,0),"공동과책 확인")</f>
        <v>Ryu, Jaena</v>
      </c>
      <c r="P79" s="23" t="s">
        <v>1906</v>
      </c>
      <c r="Q79" s="23" t="s">
        <v>1914</v>
      </c>
      <c r="R79" s="23" t="str">
        <f>IFERROR(VLOOKUP($I79,'DB2'!$F$2:$I$50,2,0),"옛날 부서명 확인")</f>
        <v xml:space="preserve">Water Management Division </v>
      </c>
      <c r="S79" s="23" t="str">
        <f>IFERROR(VLOOKUP($I79,'DB2'!$F$2:$I$50,4,0),"옛날 부서명 확인")</f>
        <v xml:space="preserve">Land and Environment Research Group </v>
      </c>
    </row>
    <row r="80" spans="1:19" ht="22.5" hidden="1" customHeight="1">
      <c r="A80" s="19" t="s">
        <v>444</v>
      </c>
      <c r="B80" s="19" t="s">
        <v>22</v>
      </c>
      <c r="C80" s="19" t="s">
        <v>445</v>
      </c>
      <c r="D80" s="20" t="s">
        <v>446</v>
      </c>
      <c r="E80" s="20"/>
      <c r="F80" s="20" t="s">
        <v>227</v>
      </c>
      <c r="G80" s="19" t="s">
        <v>228</v>
      </c>
      <c r="H80" s="20" t="s">
        <v>211</v>
      </c>
      <c r="I80" s="20" t="s">
        <v>212</v>
      </c>
      <c r="J80" s="21">
        <v>308636360</v>
      </c>
      <c r="K80" s="22">
        <v>45681</v>
      </c>
      <c r="L80" s="22">
        <v>45980</v>
      </c>
      <c r="M80" s="20" t="s">
        <v>49</v>
      </c>
      <c r="N80" s="23" t="s">
        <v>1991</v>
      </c>
      <c r="O80" s="23" t="str">
        <f>IFERROR(VLOOKUP($G80,'DB2'!$A:$B,2,0),"공동과책 확인")</f>
        <v>Han, Haejin</v>
      </c>
      <c r="P80" s="23" t="s">
        <v>1906</v>
      </c>
      <c r="Q80" s="23"/>
      <c r="R80" s="23" t="str">
        <f>IFERROR(VLOOKUP($I80,'DB2'!$F$2:$I$50,2,0),"옛날 부서명 확인")</f>
        <v xml:space="preserve">Water Management Division </v>
      </c>
      <c r="S80" s="23" t="str">
        <f>IFERROR(VLOOKUP($I80,'DB2'!$F$2:$I$50,4,0),"옛날 부서명 확인")</f>
        <v xml:space="preserve">Land and Environment Research Group </v>
      </c>
    </row>
    <row r="81" spans="1:19" ht="22.5" hidden="1" customHeight="1">
      <c r="A81" s="19" t="s">
        <v>447</v>
      </c>
      <c r="B81" s="19" t="s">
        <v>22</v>
      </c>
      <c r="C81" s="19" t="s">
        <v>448</v>
      </c>
      <c r="D81" s="20" t="s">
        <v>449</v>
      </c>
      <c r="E81" s="20"/>
      <c r="F81" s="20" t="s">
        <v>450</v>
      </c>
      <c r="G81" s="19" t="s">
        <v>451</v>
      </c>
      <c r="H81" s="20" t="s">
        <v>411</v>
      </c>
      <c r="I81" s="20" t="s">
        <v>412</v>
      </c>
      <c r="J81" s="21">
        <v>49600000</v>
      </c>
      <c r="K81" s="22">
        <v>45695</v>
      </c>
      <c r="L81" s="22">
        <v>45994</v>
      </c>
      <c r="M81" s="20" t="s">
        <v>49</v>
      </c>
      <c r="N81" s="23" t="s">
        <v>1992</v>
      </c>
      <c r="O81" s="23" t="str">
        <f>IFERROR(VLOOKUP($G81,'DB2'!$A:$B,2,0),"공동과책 확인")</f>
        <v>Kim, Kyoung-Ho</v>
      </c>
      <c r="P81" s="23" t="s">
        <v>1907</v>
      </c>
      <c r="Q81" s="23"/>
      <c r="R81" s="23" t="str">
        <f>IFERROR(VLOOKUP($I81,'DB2'!$F$2:$I$50,2,0),"옛날 부서명 확인")</f>
        <v xml:space="preserve">Social Infrastructure Assessment Division </v>
      </c>
      <c r="S81" s="23" t="str">
        <f>IFERROR(VLOOKUP($I81,'DB2'!$F$2:$I$50,4,0),"옛날 부서명 확인")</f>
        <v xml:space="preserve">Environmental Assessment Group </v>
      </c>
    </row>
    <row r="82" spans="1:19" ht="22.5" hidden="1" customHeight="1">
      <c r="A82" s="19" t="s">
        <v>452</v>
      </c>
      <c r="B82" s="19" t="s">
        <v>22</v>
      </c>
      <c r="C82" s="19" t="s">
        <v>453</v>
      </c>
      <c r="D82" s="20" t="s">
        <v>454</v>
      </c>
      <c r="E82" s="20"/>
      <c r="F82" s="20" t="s">
        <v>128</v>
      </c>
      <c r="G82" s="19" t="s">
        <v>129</v>
      </c>
      <c r="H82" s="20" t="s">
        <v>455</v>
      </c>
      <c r="I82" s="20" t="s">
        <v>131</v>
      </c>
      <c r="J82" s="21">
        <v>272727270</v>
      </c>
      <c r="K82" s="22">
        <v>45685</v>
      </c>
      <c r="L82" s="22">
        <v>45895</v>
      </c>
      <c r="M82" s="20" t="s">
        <v>280</v>
      </c>
      <c r="N82" s="23" t="s">
        <v>1993</v>
      </c>
      <c r="O82" s="23" t="str">
        <f>IFERROR(VLOOKUP($G82,'DB2'!$A:$B,2,0),"공동과책 확인")</f>
        <v>Kim, Sungjin</v>
      </c>
      <c r="P82" s="23" t="s">
        <v>1913</v>
      </c>
      <c r="Q82" s="23"/>
      <c r="R82" s="23" t="str">
        <f>IFERROR(VLOOKUP($I82,'DB2'!$F$2:$I$50,2,0),"옛날 부서명 확인")</f>
        <v xml:space="preserve">Carbon Neutrality Division </v>
      </c>
      <c r="S82" s="23" t="str">
        <f>IFERROR(VLOOKUP($I82,'DB2'!$F$2:$I$50,4,0),"옛날 부서명 확인")</f>
        <v xml:space="preserve">Climate and Atmospheric Strategy Research Group  </v>
      </c>
    </row>
    <row r="83" spans="1:19" ht="22.5" hidden="1" customHeight="1">
      <c r="A83" s="19" t="s">
        <v>456</v>
      </c>
      <c r="B83" s="19" t="s">
        <v>22</v>
      </c>
      <c r="C83" s="19" t="s">
        <v>457</v>
      </c>
      <c r="D83" s="20" t="s">
        <v>458</v>
      </c>
      <c r="E83" s="20"/>
      <c r="F83" s="20" t="s">
        <v>459</v>
      </c>
      <c r="G83" s="19" t="s">
        <v>460</v>
      </c>
      <c r="H83" s="20" t="s">
        <v>211</v>
      </c>
      <c r="I83" s="20" t="s">
        <v>212</v>
      </c>
      <c r="J83" s="21">
        <v>96000000</v>
      </c>
      <c r="K83" s="22">
        <v>45658</v>
      </c>
      <c r="L83" s="22">
        <v>46022</v>
      </c>
      <c r="M83" s="20" t="s">
        <v>354</v>
      </c>
      <c r="N83" s="23" t="s">
        <v>1994</v>
      </c>
      <c r="O83" s="23" t="str">
        <f>IFERROR(VLOOKUP($G83,'DB2'!$A:$B,2,0),"공동과책 확인")</f>
        <v>Choi, Mikyoung</v>
      </c>
      <c r="P83" s="23" t="s">
        <v>1906</v>
      </c>
      <c r="Q83" s="23" t="s">
        <v>1902</v>
      </c>
      <c r="R83" s="23" t="str">
        <f>IFERROR(VLOOKUP($I83,'DB2'!$F$2:$I$50,2,0),"옛날 부서명 확인")</f>
        <v xml:space="preserve">Water Management Division </v>
      </c>
      <c r="S83" s="23" t="str">
        <f>IFERROR(VLOOKUP($I83,'DB2'!$F$2:$I$50,4,0),"옛날 부서명 확인")</f>
        <v xml:space="preserve">Land and Environment Research Group </v>
      </c>
    </row>
    <row r="84" spans="1:19" ht="22.5" hidden="1" customHeight="1">
      <c r="A84" s="19" t="s">
        <v>461</v>
      </c>
      <c r="B84" s="19" t="s">
        <v>22</v>
      </c>
      <c r="C84" s="19" t="s">
        <v>462</v>
      </c>
      <c r="D84" s="20" t="s">
        <v>463</v>
      </c>
      <c r="E84" s="20"/>
      <c r="F84" s="20" t="s">
        <v>187</v>
      </c>
      <c r="G84" s="19" t="s">
        <v>188</v>
      </c>
      <c r="H84" s="20" t="s">
        <v>464</v>
      </c>
      <c r="I84" s="20" t="s">
        <v>465</v>
      </c>
      <c r="J84" s="21">
        <v>90000000</v>
      </c>
      <c r="K84" s="22">
        <v>45658</v>
      </c>
      <c r="L84" s="22">
        <v>46022</v>
      </c>
      <c r="M84" s="20" t="s">
        <v>466</v>
      </c>
      <c r="N84" s="23" t="s">
        <v>1995</v>
      </c>
      <c r="O84" s="23" t="str">
        <f>IFERROR(VLOOKUP($G84,'DB2'!$A:$B,2,0),"공동과책 확인")</f>
        <v>Kang, Hyeongsik</v>
      </c>
      <c r="P84" s="23" t="s">
        <v>1906</v>
      </c>
      <c r="Q84" s="23" t="s">
        <v>1902</v>
      </c>
      <c r="R84" s="23" t="str">
        <f>IFERROR(VLOOKUP($I84,'DB2'!$F$2:$I$50,2,0),"옛날 부서명 확인")</f>
        <v xml:space="preserve">Land and Environment Research Group </v>
      </c>
      <c r="S84" s="23" t="str">
        <f>IFERROR(VLOOKUP($I84,'DB2'!$F$2:$I$50,4,0),"옛날 부서명 확인")</f>
        <v xml:space="preserve">Land and Environment Research Group </v>
      </c>
    </row>
    <row r="85" spans="1:19" ht="22.5" hidden="1" customHeight="1">
      <c r="A85" s="19" t="s">
        <v>467</v>
      </c>
      <c r="B85" s="19" t="s">
        <v>22</v>
      </c>
      <c r="C85" s="19" t="s">
        <v>468</v>
      </c>
      <c r="D85" s="20" t="s">
        <v>469</v>
      </c>
      <c r="E85" s="20"/>
      <c r="F85" s="20" t="s">
        <v>261</v>
      </c>
      <c r="G85" s="19" t="s">
        <v>262</v>
      </c>
      <c r="H85" s="20" t="s">
        <v>423</v>
      </c>
      <c r="I85" s="20" t="s">
        <v>424</v>
      </c>
      <c r="J85" s="21">
        <v>78600000</v>
      </c>
      <c r="K85" s="22">
        <v>45705</v>
      </c>
      <c r="L85" s="22">
        <v>46003</v>
      </c>
      <c r="M85" s="20" t="s">
        <v>49</v>
      </c>
      <c r="N85" s="23" t="s">
        <v>1996</v>
      </c>
      <c r="O85" s="23" t="str">
        <f>IFERROR(VLOOKUP($G85,'DB2'!$A:$B,2,0),"공동과책 확인")</f>
        <v xml:space="preserve">Yang, Kyung </v>
      </c>
      <c r="P85" s="23" t="s">
        <v>1907</v>
      </c>
      <c r="Q85" s="23"/>
      <c r="R85" s="23" t="str">
        <f>IFERROR(VLOOKUP($I85,'DB2'!$F$2:$I$50,2,0),"옛날 부서명 확인")</f>
        <v xml:space="preserve">Climate and Energy Assessment Division </v>
      </c>
      <c r="S85" s="23" t="str">
        <f>IFERROR(VLOOKUP($I85,'DB2'!$F$2:$I$50,4,0),"옛날 부서명 확인")</f>
        <v xml:space="preserve">Environmental Assessment Group </v>
      </c>
    </row>
    <row r="86" spans="1:19" ht="22.5" hidden="1" customHeight="1">
      <c r="A86" s="19" t="s">
        <v>470</v>
      </c>
      <c r="B86" s="19" t="s">
        <v>22</v>
      </c>
      <c r="C86" s="19" t="s">
        <v>471</v>
      </c>
      <c r="D86" s="20" t="s">
        <v>472</v>
      </c>
      <c r="E86" s="20"/>
      <c r="F86" s="20" t="s">
        <v>73</v>
      </c>
      <c r="G86" s="19" t="s">
        <v>74</v>
      </c>
      <c r="H86" s="20" t="s">
        <v>75</v>
      </c>
      <c r="I86" s="20" t="s">
        <v>76</v>
      </c>
      <c r="J86" s="21">
        <v>100000000</v>
      </c>
      <c r="K86" s="22">
        <v>45658</v>
      </c>
      <c r="L86" s="22">
        <v>46022</v>
      </c>
      <c r="M86" s="20" t="s">
        <v>473</v>
      </c>
      <c r="N86" s="23" t="s">
        <v>1997</v>
      </c>
      <c r="O86" s="23" t="str">
        <f>IFERROR(VLOOKUP($G86,'DB2'!$A:$B,2,0),"공동과책 확인")</f>
        <v>Cho, Hanna</v>
      </c>
      <c r="P86" s="23" t="s">
        <v>1913</v>
      </c>
      <c r="Q86" s="23" t="s">
        <v>1909</v>
      </c>
      <c r="R86" s="23" t="str">
        <f>IFERROR(VLOOKUP($I86,'DB2'!$F$2:$I$50,2,0),"옛날 부서명 확인")</f>
        <v xml:space="preserve">Climate Adaptation Cooperation Division </v>
      </c>
      <c r="S86" s="23" t="str">
        <f>IFERROR(VLOOKUP($I86,'DB2'!$F$2:$I$50,4,0),"옛날 부서명 확인")</f>
        <v xml:space="preserve">Korea Adaptation Center for Climate Change </v>
      </c>
    </row>
    <row r="87" spans="1:19" ht="22.5" hidden="1" customHeight="1">
      <c r="A87" s="19" t="s">
        <v>474</v>
      </c>
      <c r="B87" s="19" t="s">
        <v>22</v>
      </c>
      <c r="C87" s="19" t="s">
        <v>475</v>
      </c>
      <c r="D87" s="20" t="s">
        <v>476</v>
      </c>
      <c r="E87" s="20"/>
      <c r="F87" s="20" t="s">
        <v>187</v>
      </c>
      <c r="G87" s="19" t="s">
        <v>188</v>
      </c>
      <c r="H87" s="20" t="s">
        <v>464</v>
      </c>
      <c r="I87" s="20" t="s">
        <v>465</v>
      </c>
      <c r="J87" s="21">
        <v>154600000</v>
      </c>
      <c r="K87" s="22">
        <v>45658</v>
      </c>
      <c r="L87" s="22">
        <v>46022</v>
      </c>
      <c r="M87" s="20" t="s">
        <v>466</v>
      </c>
      <c r="N87" s="23" t="s">
        <v>1998</v>
      </c>
      <c r="O87" s="23" t="str">
        <f>IFERROR(VLOOKUP($G87,'DB2'!$A:$B,2,0),"공동과책 확인")</f>
        <v>Kang, Hyeongsik</v>
      </c>
      <c r="P87" s="23" t="s">
        <v>1906</v>
      </c>
      <c r="Q87" s="23" t="s">
        <v>1908</v>
      </c>
      <c r="R87" s="23" t="str">
        <f>IFERROR(VLOOKUP($I87,'DB2'!$F$2:$I$50,2,0),"옛날 부서명 확인")</f>
        <v xml:space="preserve">Land and Environment Research Group </v>
      </c>
      <c r="S87" s="23" t="str">
        <f>IFERROR(VLOOKUP($I87,'DB2'!$F$2:$I$50,4,0),"옛날 부서명 확인")</f>
        <v xml:space="preserve">Land and Environment Research Group </v>
      </c>
    </row>
    <row r="88" spans="1:19" ht="22.5" hidden="1" customHeight="1">
      <c r="A88" s="19" t="s">
        <v>477</v>
      </c>
      <c r="B88" s="19" t="s">
        <v>22</v>
      </c>
      <c r="C88" s="19" t="s">
        <v>478</v>
      </c>
      <c r="D88" s="20" t="s">
        <v>479</v>
      </c>
      <c r="E88" s="20"/>
      <c r="F88" s="20" t="s">
        <v>117</v>
      </c>
      <c r="G88" s="19" t="s">
        <v>118</v>
      </c>
      <c r="H88" s="20" t="s">
        <v>33</v>
      </c>
      <c r="I88" s="20" t="s">
        <v>28</v>
      </c>
      <c r="J88" s="21">
        <v>58000000</v>
      </c>
      <c r="K88" s="22">
        <v>45658</v>
      </c>
      <c r="L88" s="22">
        <v>46022</v>
      </c>
      <c r="M88" s="20" t="s">
        <v>480</v>
      </c>
      <c r="N88" s="23" t="s">
        <v>1999</v>
      </c>
      <c r="O88" s="23" t="str">
        <f>IFERROR(VLOOKUP($G88,'DB2'!$A:$B,2,0),"공동과책 확인")</f>
        <v>Myeong, Soojeong</v>
      </c>
      <c r="P88" s="23" t="s">
        <v>1913</v>
      </c>
      <c r="Q88" s="23"/>
      <c r="R88" s="23" t="str">
        <f>IFERROR(VLOOKUP($I88,'DB2'!$F$2:$I$50,2,0),"옛날 부서명 확인")</f>
        <v xml:space="preserve">Natural Environment Division </v>
      </c>
      <c r="S88" s="23" t="str">
        <f>IFERROR(VLOOKUP($I88,'DB2'!$F$2:$I$50,4,0),"옛날 부서명 확인")</f>
        <v xml:space="preserve">Land and Environment Research Group </v>
      </c>
    </row>
    <row r="89" spans="1:19" ht="22.5" hidden="1" customHeight="1">
      <c r="A89" s="19" t="s">
        <v>481</v>
      </c>
      <c r="B89" s="19" t="s">
        <v>22</v>
      </c>
      <c r="C89" s="19" t="s">
        <v>482</v>
      </c>
      <c r="D89" s="20" t="s">
        <v>483</v>
      </c>
      <c r="E89" s="20"/>
      <c r="F89" s="20" t="s">
        <v>89</v>
      </c>
      <c r="G89" s="19" t="s">
        <v>90</v>
      </c>
      <c r="H89" s="20" t="s">
        <v>423</v>
      </c>
      <c r="I89" s="20" t="s">
        <v>424</v>
      </c>
      <c r="J89" s="21">
        <v>170000000</v>
      </c>
      <c r="K89" s="22">
        <v>45715</v>
      </c>
      <c r="L89" s="22">
        <v>46022</v>
      </c>
      <c r="M89" s="20" t="s">
        <v>92</v>
      </c>
      <c r="N89" s="23" t="s">
        <v>2000</v>
      </c>
      <c r="O89" s="23" t="str">
        <f>IFERROR(VLOOKUP($G89,'DB2'!$A:$B,2,0),"공동과책 확인")</f>
        <v>Kim, Taeyun</v>
      </c>
      <c r="P89" s="23" t="s">
        <v>1907</v>
      </c>
      <c r="Q89" s="23" t="s">
        <v>1913</v>
      </c>
      <c r="R89" s="23" t="str">
        <f>IFERROR(VLOOKUP($I89,'DB2'!$F$2:$I$50,2,0),"옛날 부서명 확인")</f>
        <v xml:space="preserve">Climate and Energy Assessment Division </v>
      </c>
      <c r="S89" s="23" t="str">
        <f>IFERROR(VLOOKUP($I89,'DB2'!$F$2:$I$50,4,0),"옛날 부서명 확인")</f>
        <v xml:space="preserve">Environmental Assessment Group </v>
      </c>
    </row>
    <row r="90" spans="1:19" ht="22.5" hidden="1" customHeight="1">
      <c r="A90" s="19" t="s">
        <v>484</v>
      </c>
      <c r="B90" s="19" t="s">
        <v>22</v>
      </c>
      <c r="C90" s="19" t="s">
        <v>485</v>
      </c>
      <c r="D90" s="20" t="s">
        <v>486</v>
      </c>
      <c r="E90" s="20"/>
      <c r="F90" s="20" t="s">
        <v>274</v>
      </c>
      <c r="G90" s="19" t="s">
        <v>275</v>
      </c>
      <c r="H90" s="20" t="s">
        <v>268</v>
      </c>
      <c r="I90" s="20" t="s">
        <v>269</v>
      </c>
      <c r="J90" s="21">
        <v>152000000</v>
      </c>
      <c r="K90" s="22">
        <v>45712</v>
      </c>
      <c r="L90" s="22">
        <v>45982</v>
      </c>
      <c r="M90" s="20" t="s">
        <v>138</v>
      </c>
      <c r="N90" s="23" t="s">
        <v>2001</v>
      </c>
      <c r="O90" s="23" t="str">
        <f>IFERROR(VLOOKUP($G90,'DB2'!$A:$B,2,0),"공동과책 확인")</f>
        <v xml:space="preserve">Yi, Sora </v>
      </c>
      <c r="P90" s="23" t="s">
        <v>1900</v>
      </c>
      <c r="Q90" s="23"/>
      <c r="R90" s="23" t="str">
        <f>IFERROR(VLOOKUP($I90,'DB2'!$F$2:$I$50,2,0),"옛날 부서명 확인")</f>
        <v xml:space="preserve">Circular Economy Division </v>
      </c>
      <c r="S90" s="23" t="str">
        <f>IFERROR(VLOOKUP($I90,'DB2'!$F$2:$I$50,4,0),"옛날 부서명 확인")</f>
        <v xml:space="preserve">Sustainable Development Research Group  </v>
      </c>
    </row>
    <row r="91" spans="1:19" ht="22.5" hidden="1" customHeight="1">
      <c r="A91" s="19" t="s">
        <v>487</v>
      </c>
      <c r="B91" s="19" t="s">
        <v>22</v>
      </c>
      <c r="C91" s="19" t="s">
        <v>488</v>
      </c>
      <c r="D91" s="20" t="s">
        <v>489</v>
      </c>
      <c r="E91" s="20"/>
      <c r="F91" s="20" t="s">
        <v>66</v>
      </c>
      <c r="G91" s="19" t="s">
        <v>67</v>
      </c>
      <c r="H91" s="20" t="s">
        <v>211</v>
      </c>
      <c r="I91" s="20" t="s">
        <v>212</v>
      </c>
      <c r="J91" s="21">
        <v>89350000</v>
      </c>
      <c r="K91" s="22">
        <v>45717</v>
      </c>
      <c r="L91" s="22">
        <v>46081</v>
      </c>
      <c r="M91" s="20" t="s">
        <v>62</v>
      </c>
      <c r="N91" s="23" t="s">
        <v>2002</v>
      </c>
      <c r="O91" s="23" t="str">
        <f>IFERROR(VLOOKUP($G91,'DB2'!$A:$B,2,0),"공동과책 확인")</f>
        <v xml:space="preserve">Jung, Kichul </v>
      </c>
      <c r="P91" s="23" t="s">
        <v>1906</v>
      </c>
      <c r="Q91" s="23" t="s">
        <v>1910</v>
      </c>
      <c r="R91" s="23" t="str">
        <f>IFERROR(VLOOKUP($I91,'DB2'!$F$2:$I$50,2,0),"옛날 부서명 확인")</f>
        <v xml:space="preserve">Water Management Division </v>
      </c>
      <c r="S91" s="23" t="str">
        <f>IFERROR(VLOOKUP($I91,'DB2'!$F$2:$I$50,4,0),"옛날 부서명 확인")</f>
        <v xml:space="preserve">Land and Environment Research Group </v>
      </c>
    </row>
    <row r="92" spans="1:19" ht="22.5" hidden="1" customHeight="1">
      <c r="A92" s="19" t="s">
        <v>490</v>
      </c>
      <c r="B92" s="19" t="s">
        <v>22</v>
      </c>
      <c r="C92" s="19" t="s">
        <v>491</v>
      </c>
      <c r="D92" s="20" t="s">
        <v>492</v>
      </c>
      <c r="E92" s="20"/>
      <c r="F92" s="20" t="s">
        <v>25</v>
      </c>
      <c r="G92" s="19" t="s">
        <v>26</v>
      </c>
      <c r="H92" s="20" t="s">
        <v>33</v>
      </c>
      <c r="I92" s="20" t="s">
        <v>28</v>
      </c>
      <c r="J92" s="21">
        <v>130895000</v>
      </c>
      <c r="K92" s="22">
        <v>45730</v>
      </c>
      <c r="L92" s="22">
        <v>46389</v>
      </c>
      <c r="M92" s="20" t="s">
        <v>109</v>
      </c>
      <c r="N92" s="23" t="s">
        <v>2003</v>
      </c>
      <c r="O92" s="23" t="str">
        <f>IFERROR(VLOOKUP($G92,'DB2'!$A:$B,2,0),"공동과책 확인")</f>
        <v>Lee, Soojae</v>
      </c>
      <c r="P92" s="23" t="s">
        <v>1902</v>
      </c>
      <c r="Q92" s="23" t="s">
        <v>1914</v>
      </c>
      <c r="R92" s="23" t="str">
        <f>IFERROR(VLOOKUP($I92,'DB2'!$F$2:$I$50,2,0),"옛날 부서명 확인")</f>
        <v xml:space="preserve">Natural Environment Division </v>
      </c>
      <c r="S92" s="23" t="str">
        <f>IFERROR(VLOOKUP($I92,'DB2'!$F$2:$I$50,4,0),"옛날 부서명 확인")</f>
        <v xml:space="preserve">Land and Environment Research Group </v>
      </c>
    </row>
    <row r="93" spans="1:19" ht="22.5" hidden="1" customHeight="1">
      <c r="A93" s="19" t="s">
        <v>493</v>
      </c>
      <c r="B93" s="19" t="s">
        <v>22</v>
      </c>
      <c r="C93" s="19" t="s">
        <v>494</v>
      </c>
      <c r="D93" s="20" t="s">
        <v>495</v>
      </c>
      <c r="E93" s="20"/>
      <c r="F93" s="20" t="s">
        <v>496</v>
      </c>
      <c r="G93" s="19" t="s">
        <v>497</v>
      </c>
      <c r="H93" s="20" t="s">
        <v>411</v>
      </c>
      <c r="I93" s="20" t="s">
        <v>412</v>
      </c>
      <c r="J93" s="21">
        <v>90000000</v>
      </c>
      <c r="K93" s="22">
        <v>45723</v>
      </c>
      <c r="L93" s="22">
        <v>46006</v>
      </c>
      <c r="M93" s="20" t="s">
        <v>49</v>
      </c>
      <c r="N93" s="23" t="s">
        <v>2004</v>
      </c>
      <c r="O93" s="23" t="str">
        <f>IFERROR(VLOOKUP($G93,'DB2'!$A:$B,2,0),"공동과책 확인")</f>
        <v>Park, Taeho</v>
      </c>
      <c r="P93" s="23" t="s">
        <v>1915</v>
      </c>
      <c r="Q93" s="23"/>
      <c r="R93" s="23" t="str">
        <f>IFERROR(VLOOKUP($I93,'DB2'!$F$2:$I$50,2,0),"옛날 부서명 확인")</f>
        <v xml:space="preserve">Social Infrastructure Assessment Division </v>
      </c>
      <c r="S93" s="23" t="str">
        <f>IFERROR(VLOOKUP($I93,'DB2'!$F$2:$I$50,4,0),"옛날 부서명 확인")</f>
        <v xml:space="preserve">Environmental Assessment Group </v>
      </c>
    </row>
    <row r="94" spans="1:19" ht="22.5" hidden="1" customHeight="1">
      <c r="A94" s="19" t="s">
        <v>498</v>
      </c>
      <c r="B94" s="19" t="s">
        <v>22</v>
      </c>
      <c r="C94" s="19" t="s">
        <v>499</v>
      </c>
      <c r="D94" s="20" t="s">
        <v>500</v>
      </c>
      <c r="E94" s="20"/>
      <c r="F94" s="20" t="s">
        <v>501</v>
      </c>
      <c r="G94" s="19" t="s">
        <v>502</v>
      </c>
      <c r="H94" s="20" t="s">
        <v>316</v>
      </c>
      <c r="I94" s="20" t="s">
        <v>317</v>
      </c>
      <c r="J94" s="21">
        <v>78856000</v>
      </c>
      <c r="K94" s="22">
        <v>45723</v>
      </c>
      <c r="L94" s="22">
        <v>46022</v>
      </c>
      <c r="M94" s="20" t="s">
        <v>49</v>
      </c>
      <c r="N94" s="23" t="s">
        <v>2005</v>
      </c>
      <c r="O94" s="23" t="str">
        <f>IFERROR(VLOOKUP($G94,'DB2'!$A:$B,2,0),"공동과책 확인")</f>
        <v xml:space="preserve">Song, Jiyoon </v>
      </c>
      <c r="P94" s="23" t="s">
        <v>1901</v>
      </c>
      <c r="Q94" s="23"/>
      <c r="R94" s="23" t="str">
        <f>IFERROR(VLOOKUP($I94,'DB2'!$F$2:$I$50,2,0),"옛날 부서명 확인")</f>
        <v xml:space="preserve">Climate Adaptation Policy Division </v>
      </c>
      <c r="S94" s="23" t="str">
        <f>IFERROR(VLOOKUP($I94,'DB2'!$F$2:$I$50,4,0),"옛날 부서명 확인")</f>
        <v xml:space="preserve">Korea Adaptation Center for Climate Change </v>
      </c>
    </row>
    <row r="95" spans="1:19" ht="22.5" hidden="1" customHeight="1">
      <c r="A95" s="19" t="s">
        <v>503</v>
      </c>
      <c r="B95" s="19" t="s">
        <v>22</v>
      </c>
      <c r="C95" s="19" t="s">
        <v>504</v>
      </c>
      <c r="D95" s="20" t="s">
        <v>505</v>
      </c>
      <c r="E95" s="20"/>
      <c r="F95" s="20" t="s">
        <v>506</v>
      </c>
      <c r="G95" s="19" t="s">
        <v>507</v>
      </c>
      <c r="H95" s="20" t="s">
        <v>508</v>
      </c>
      <c r="I95" s="20" t="s">
        <v>509</v>
      </c>
      <c r="J95" s="21">
        <v>39550000</v>
      </c>
      <c r="K95" s="22">
        <v>45726</v>
      </c>
      <c r="L95" s="22">
        <v>45995</v>
      </c>
      <c r="M95" s="20" t="s">
        <v>49</v>
      </c>
      <c r="N95" s="23" t="s">
        <v>2006</v>
      </c>
      <c r="O95" s="23" t="str">
        <f>IFERROR(VLOOKUP($G95,'DB2'!$A:$B,2,0),"공동과책 확인")</f>
        <v>Lee, Sangyun</v>
      </c>
      <c r="P95" s="23" t="s">
        <v>1907</v>
      </c>
      <c r="Q95" s="23"/>
      <c r="R95" s="23" t="str">
        <f>IFERROR(VLOOKUP($I95,'DB2'!$F$2:$I$50,2,0),"옛날 부서명 확인")</f>
        <v xml:space="preserve">Environmental Resources Assessment Division </v>
      </c>
      <c r="S95" s="23" t="str">
        <f>IFERROR(VLOOKUP($I95,'DB2'!$F$2:$I$50,4,0),"옛날 부서명 확인")</f>
        <v xml:space="preserve">Environmental Assessment Group </v>
      </c>
    </row>
    <row r="96" spans="1:19" ht="22.5" hidden="1" customHeight="1">
      <c r="A96" s="19" t="s">
        <v>510</v>
      </c>
      <c r="B96" s="19" t="s">
        <v>22</v>
      </c>
      <c r="C96" s="19" t="s">
        <v>511</v>
      </c>
      <c r="D96" s="20" t="s">
        <v>512</v>
      </c>
      <c r="E96" s="20"/>
      <c r="F96" s="20" t="s">
        <v>46</v>
      </c>
      <c r="G96" s="19" t="s">
        <v>47</v>
      </c>
      <c r="H96" s="20" t="s">
        <v>221</v>
      </c>
      <c r="I96" s="20" t="s">
        <v>222</v>
      </c>
      <c r="J96" s="21">
        <v>143600000</v>
      </c>
      <c r="K96" s="22">
        <v>45722</v>
      </c>
      <c r="L96" s="22">
        <v>46086</v>
      </c>
      <c r="M96" s="20" t="s">
        <v>49</v>
      </c>
      <c r="N96" s="23" t="s">
        <v>2007</v>
      </c>
      <c r="O96" s="23" t="str">
        <f>IFERROR(VLOOKUP($G96,'DB2'!$A:$B,2,0),"공동과책 확인")</f>
        <v>Son, Seungwoo</v>
      </c>
      <c r="P96" s="23" t="s">
        <v>1901</v>
      </c>
      <c r="Q96" s="23" t="s">
        <v>1902</v>
      </c>
      <c r="R96" s="23" t="str">
        <f>IFERROR(VLOOKUP($I96,'DB2'!$F$2:$I$50,2,0),"옛날 부서명 확인")</f>
        <v>Spatial Planning and Management Division</v>
      </c>
      <c r="S96" s="23" t="str">
        <f>IFERROR(VLOOKUP($I96,'DB2'!$F$2:$I$50,4,0),"옛날 부서명 확인")</f>
        <v xml:space="preserve">Land and Environment Research Group </v>
      </c>
    </row>
    <row r="97" spans="1:19" ht="22.5" hidden="1" customHeight="1">
      <c r="A97" s="19" t="s">
        <v>513</v>
      </c>
      <c r="B97" s="19" t="s">
        <v>22</v>
      </c>
      <c r="C97" s="19" t="s">
        <v>514</v>
      </c>
      <c r="D97" s="20" t="s">
        <v>515</v>
      </c>
      <c r="E97" s="20"/>
      <c r="F97" s="20" t="s">
        <v>516</v>
      </c>
      <c r="G97" s="19" t="s">
        <v>517</v>
      </c>
      <c r="H97" s="20" t="s">
        <v>518</v>
      </c>
      <c r="I97" s="20" t="s">
        <v>519</v>
      </c>
      <c r="J97" s="21">
        <v>39600000</v>
      </c>
      <c r="K97" s="22">
        <v>45727</v>
      </c>
      <c r="L97" s="22">
        <v>45989</v>
      </c>
      <c r="M97" s="20" t="s">
        <v>49</v>
      </c>
      <c r="N97" s="23" t="s">
        <v>2008</v>
      </c>
      <c r="O97" s="23" t="str">
        <f>IFERROR(VLOOKUP($G97,'DB2'!$A:$B,2,0),"공동과책 확인")</f>
        <v>Lee, Sangbum</v>
      </c>
      <c r="P97" s="23" t="s">
        <v>1915</v>
      </c>
      <c r="Q97" s="23" t="s">
        <v>1907</v>
      </c>
      <c r="R97" s="23" t="str">
        <f>IFERROR(VLOOKUP($I97,'DB2'!$F$2:$I$50,2,0),"옛날 부서명 확인")</f>
        <v xml:space="preserve">Environmental Assessment Group </v>
      </c>
      <c r="S97" s="23" t="str">
        <f>IFERROR(VLOOKUP($I97,'DB2'!$F$2:$I$50,4,0),"옛날 부서명 확인")</f>
        <v xml:space="preserve">Environmental Assessment Group </v>
      </c>
    </row>
    <row r="98" spans="1:19" ht="22.5" hidden="1" customHeight="1">
      <c r="A98" s="19" t="s">
        <v>520</v>
      </c>
      <c r="B98" s="19" t="s">
        <v>22</v>
      </c>
      <c r="C98" s="19" t="s">
        <v>521</v>
      </c>
      <c r="D98" s="20" t="s">
        <v>522</v>
      </c>
      <c r="E98" s="20"/>
      <c r="F98" s="20" t="s">
        <v>58</v>
      </c>
      <c r="G98" s="19" t="s">
        <v>59</v>
      </c>
      <c r="H98" s="20" t="s">
        <v>438</v>
      </c>
      <c r="I98" s="20" t="s">
        <v>439</v>
      </c>
      <c r="J98" s="21">
        <v>119950000</v>
      </c>
      <c r="K98" s="22">
        <v>45717</v>
      </c>
      <c r="L98" s="22">
        <v>46535</v>
      </c>
      <c r="M98" s="20" t="s">
        <v>62</v>
      </c>
      <c r="N98" s="23" t="s">
        <v>2009</v>
      </c>
      <c r="O98" s="23" t="str">
        <f>IFERROR(VLOOKUP($G98,'DB2'!$A:$B,2,0),"공동과책 확인")</f>
        <v>Choi, Yuyoung</v>
      </c>
      <c r="P98" s="23" t="s">
        <v>1904</v>
      </c>
      <c r="Q98" s="23" t="s">
        <v>1902</v>
      </c>
      <c r="R98" s="23" t="str">
        <f>IFERROR(VLOOKUP($I98,'DB2'!$F$2:$I$50,2,0),"옛날 부서명 확인")</f>
        <v xml:space="preserve">Land Strategy Assessment Division </v>
      </c>
      <c r="S98" s="23" t="str">
        <f>IFERROR(VLOOKUP($I98,'DB2'!$F$2:$I$50,4,0),"옛날 부서명 확인")</f>
        <v xml:space="preserve">Environmental Assessment Group </v>
      </c>
    </row>
    <row r="99" spans="1:19" ht="22.5" hidden="1" customHeight="1">
      <c r="A99" s="19" t="s">
        <v>523</v>
      </c>
      <c r="B99" s="19" t="s">
        <v>22</v>
      </c>
      <c r="C99" s="19" t="s">
        <v>524</v>
      </c>
      <c r="D99" s="20" t="s">
        <v>525</v>
      </c>
      <c r="E99" s="20"/>
      <c r="F99" s="20" t="s">
        <v>506</v>
      </c>
      <c r="G99" s="19" t="s">
        <v>507</v>
      </c>
      <c r="H99" s="20" t="s">
        <v>508</v>
      </c>
      <c r="I99" s="20" t="s">
        <v>509</v>
      </c>
      <c r="J99" s="21">
        <v>39700000</v>
      </c>
      <c r="K99" s="22">
        <v>45729</v>
      </c>
      <c r="L99" s="22">
        <v>45998</v>
      </c>
      <c r="M99" s="20" t="s">
        <v>49</v>
      </c>
      <c r="N99" s="23" t="s">
        <v>2010</v>
      </c>
      <c r="O99" s="23" t="str">
        <f>IFERROR(VLOOKUP($G99,'DB2'!$A:$B,2,0),"공동과책 확인")</f>
        <v>Lee, Sangyun</v>
      </c>
      <c r="P99" s="23" t="s">
        <v>1907</v>
      </c>
      <c r="Q99" s="23"/>
      <c r="R99" s="23" t="str">
        <f>IFERROR(VLOOKUP($I99,'DB2'!$F$2:$I$50,2,0),"옛날 부서명 확인")</f>
        <v xml:space="preserve">Environmental Resources Assessment Division </v>
      </c>
      <c r="S99" s="23" t="str">
        <f>IFERROR(VLOOKUP($I99,'DB2'!$F$2:$I$50,4,0),"옛날 부서명 확인")</f>
        <v xml:space="preserve">Environmental Assessment Group </v>
      </c>
    </row>
    <row r="100" spans="1:19" ht="22.5" hidden="1" customHeight="1">
      <c r="A100" s="19" t="s">
        <v>526</v>
      </c>
      <c r="B100" s="19" t="s">
        <v>22</v>
      </c>
      <c r="C100" s="19" t="s">
        <v>527</v>
      </c>
      <c r="D100" s="20" t="s">
        <v>528</v>
      </c>
      <c r="E100" s="20"/>
      <c r="F100" s="20" t="s">
        <v>529</v>
      </c>
      <c r="G100" s="19" t="s">
        <v>530</v>
      </c>
      <c r="H100" s="20" t="s">
        <v>455</v>
      </c>
      <c r="I100" s="20" t="s">
        <v>131</v>
      </c>
      <c r="J100" s="21">
        <v>79100000</v>
      </c>
      <c r="K100" s="22">
        <v>45730</v>
      </c>
      <c r="L100" s="22">
        <v>45970</v>
      </c>
      <c r="M100" s="20" t="s">
        <v>531</v>
      </c>
      <c r="N100" s="23" t="s">
        <v>2011</v>
      </c>
      <c r="O100" s="23" t="str">
        <f>IFERROR(VLOOKUP($G100,'DB2'!$A:$B,2,0),"공동과책 확인")</f>
        <v>Choi, Hyungsik</v>
      </c>
      <c r="P100" s="23" t="s">
        <v>1913</v>
      </c>
      <c r="Q100" s="23" t="s">
        <v>1910</v>
      </c>
      <c r="R100" s="23" t="str">
        <f>IFERROR(VLOOKUP($I100,'DB2'!$F$2:$I$50,2,0),"옛날 부서명 확인")</f>
        <v xml:space="preserve">Carbon Neutrality Division </v>
      </c>
      <c r="S100" s="23" t="str">
        <f>IFERROR(VLOOKUP($I100,'DB2'!$F$2:$I$50,4,0),"옛날 부서명 확인")</f>
        <v xml:space="preserve">Climate and Atmospheric Strategy Research Group  </v>
      </c>
    </row>
    <row r="101" spans="1:19" ht="22.5" hidden="1" customHeight="1">
      <c r="A101" s="19" t="s">
        <v>532</v>
      </c>
      <c r="B101" s="19" t="s">
        <v>22</v>
      </c>
      <c r="C101" s="19" t="s">
        <v>533</v>
      </c>
      <c r="D101" s="20" t="s">
        <v>534</v>
      </c>
      <c r="E101" s="20"/>
      <c r="F101" s="20" t="s">
        <v>53</v>
      </c>
      <c r="G101" s="19" t="s">
        <v>54</v>
      </c>
      <c r="H101" s="20" t="s">
        <v>33</v>
      </c>
      <c r="I101" s="20" t="s">
        <v>28</v>
      </c>
      <c r="J101" s="21">
        <v>130454540</v>
      </c>
      <c r="K101" s="22">
        <v>45734</v>
      </c>
      <c r="L101" s="22">
        <v>45991</v>
      </c>
      <c r="M101" s="20" t="s">
        <v>179</v>
      </c>
      <c r="N101" s="23" t="s">
        <v>2012</v>
      </c>
      <c r="O101" s="23" t="str">
        <f>IFERROR(VLOOKUP($G101,'DB2'!$A:$B,2,0),"공동과책 확인")</f>
        <v xml:space="preserve">Koo, Kyung Ah </v>
      </c>
      <c r="P101" s="23" t="s">
        <v>1902</v>
      </c>
      <c r="Q101" s="23"/>
      <c r="R101" s="23" t="str">
        <f>IFERROR(VLOOKUP($I101,'DB2'!$F$2:$I$50,2,0),"옛날 부서명 확인")</f>
        <v xml:space="preserve">Natural Environment Division </v>
      </c>
      <c r="S101" s="23" t="str">
        <f>IFERROR(VLOOKUP($I101,'DB2'!$F$2:$I$50,4,0),"옛날 부서명 확인")</f>
        <v xml:space="preserve">Land and Environment Research Group </v>
      </c>
    </row>
    <row r="102" spans="1:19" ht="22.5" hidden="1" customHeight="1">
      <c r="A102" s="19" t="s">
        <v>535</v>
      </c>
      <c r="B102" s="19" t="s">
        <v>22</v>
      </c>
      <c r="C102" s="19" t="s">
        <v>536</v>
      </c>
      <c r="D102" s="20" t="s">
        <v>537</v>
      </c>
      <c r="E102" s="20"/>
      <c r="F102" s="20" t="s">
        <v>122</v>
      </c>
      <c r="G102" s="19" t="s">
        <v>123</v>
      </c>
      <c r="H102" s="20" t="s">
        <v>268</v>
      </c>
      <c r="I102" s="20" t="s">
        <v>269</v>
      </c>
      <c r="J102" s="21">
        <v>227270000</v>
      </c>
      <c r="K102" s="22">
        <v>45747</v>
      </c>
      <c r="L102" s="22">
        <v>46022</v>
      </c>
      <c r="M102" s="20" t="s">
        <v>124</v>
      </c>
      <c r="N102" s="23" t="s">
        <v>2013</v>
      </c>
      <c r="O102" s="23" t="str">
        <f>IFERROR(VLOOKUP($G102,'DB2'!$A:$B,2,0),"공동과책 확인")</f>
        <v>Kim, Jongho</v>
      </c>
      <c r="P102" s="23" t="s">
        <v>1910</v>
      </c>
      <c r="Q102" s="23" t="s">
        <v>1904</v>
      </c>
      <c r="R102" s="23" t="str">
        <f>IFERROR(VLOOKUP($I102,'DB2'!$F$2:$I$50,2,0),"옛날 부서명 확인")</f>
        <v xml:space="preserve">Circular Economy Division </v>
      </c>
      <c r="S102" s="23" t="str">
        <f>IFERROR(VLOOKUP($I102,'DB2'!$F$2:$I$50,4,0),"옛날 부서명 확인")</f>
        <v xml:space="preserve">Sustainable Development Research Group  </v>
      </c>
    </row>
    <row r="103" spans="1:19" ht="22.5" hidden="1" customHeight="1">
      <c r="A103" s="19" t="s">
        <v>538</v>
      </c>
      <c r="B103" s="19" t="s">
        <v>22</v>
      </c>
      <c r="C103" s="19" t="s">
        <v>539</v>
      </c>
      <c r="D103" s="20" t="s">
        <v>540</v>
      </c>
      <c r="E103" s="20"/>
      <c r="F103" s="20" t="s">
        <v>541</v>
      </c>
      <c r="G103" s="19" t="s">
        <v>542</v>
      </c>
      <c r="H103" s="20" t="s">
        <v>33</v>
      </c>
      <c r="I103" s="20" t="s">
        <v>28</v>
      </c>
      <c r="J103" s="21">
        <v>49700000</v>
      </c>
      <c r="K103" s="22">
        <v>45748</v>
      </c>
      <c r="L103" s="22">
        <v>45927</v>
      </c>
      <c r="M103" s="20" t="s">
        <v>49</v>
      </c>
      <c r="N103" s="23" t="s">
        <v>2014</v>
      </c>
      <c r="O103" s="23" t="str">
        <f>IFERROR(VLOOKUP($G103,'DB2'!$A:$B,2,0),"공동과책 확인")</f>
        <v>Lee, Who-Seung</v>
      </c>
      <c r="P103" s="23" t="s">
        <v>1902</v>
      </c>
      <c r="Q103" s="23" t="s">
        <v>1901</v>
      </c>
      <c r="R103" s="23" t="str">
        <f>IFERROR(VLOOKUP($I103,'DB2'!$F$2:$I$50,2,0),"옛날 부서명 확인")</f>
        <v xml:space="preserve">Natural Environment Division </v>
      </c>
      <c r="S103" s="23" t="str">
        <f>IFERROR(VLOOKUP($I103,'DB2'!$F$2:$I$50,4,0),"옛날 부서명 확인")</f>
        <v xml:space="preserve">Land and Environment Research Group </v>
      </c>
    </row>
    <row r="104" spans="1:19" ht="22.5" hidden="1" customHeight="1">
      <c r="A104" s="19" t="s">
        <v>543</v>
      </c>
      <c r="B104" s="19" t="s">
        <v>22</v>
      </c>
      <c r="C104" s="19" t="s">
        <v>544</v>
      </c>
      <c r="D104" s="20" t="s">
        <v>545</v>
      </c>
      <c r="E104" s="20"/>
      <c r="F104" s="20" t="s">
        <v>546</v>
      </c>
      <c r="G104" s="19" t="s">
        <v>547</v>
      </c>
      <c r="H104" s="20" t="s">
        <v>411</v>
      </c>
      <c r="I104" s="20" t="s">
        <v>412</v>
      </c>
      <c r="J104" s="21">
        <v>39400000</v>
      </c>
      <c r="K104" s="22">
        <v>45748</v>
      </c>
      <c r="L104" s="22">
        <v>45987</v>
      </c>
      <c r="M104" s="20" t="s">
        <v>49</v>
      </c>
      <c r="N104" s="23" t="s">
        <v>2015</v>
      </c>
      <c r="O104" s="23" t="str">
        <f>IFERROR(VLOOKUP($G104,'DB2'!$A:$B,2,0),"공동과책 확인")</f>
        <v>Ji, Min-Kyu</v>
      </c>
      <c r="P104" s="23" t="s">
        <v>1907</v>
      </c>
      <c r="Q104" s="23" t="s">
        <v>1904</v>
      </c>
      <c r="R104" s="23" t="str">
        <f>IFERROR(VLOOKUP($I104,'DB2'!$F$2:$I$50,2,0),"옛날 부서명 확인")</f>
        <v xml:space="preserve">Social Infrastructure Assessment Division </v>
      </c>
      <c r="S104" s="23" t="str">
        <f>IFERROR(VLOOKUP($I104,'DB2'!$F$2:$I$50,4,0),"옛날 부서명 확인")</f>
        <v xml:space="preserve">Environmental Assessment Group </v>
      </c>
    </row>
    <row r="105" spans="1:19" ht="22.5" hidden="1" customHeight="1">
      <c r="A105" s="19" t="s">
        <v>548</v>
      </c>
      <c r="B105" s="19" t="s">
        <v>22</v>
      </c>
      <c r="C105" s="19" t="s">
        <v>549</v>
      </c>
      <c r="D105" s="20" t="s">
        <v>550</v>
      </c>
      <c r="E105" s="20"/>
      <c r="F105" s="20" t="s">
        <v>250</v>
      </c>
      <c r="G105" s="19" t="s">
        <v>551</v>
      </c>
      <c r="H105" s="20" t="s">
        <v>221</v>
      </c>
      <c r="I105" s="20" t="s">
        <v>222</v>
      </c>
      <c r="J105" s="21">
        <v>69300000</v>
      </c>
      <c r="K105" s="22">
        <v>45751</v>
      </c>
      <c r="L105" s="22">
        <v>45991</v>
      </c>
      <c r="M105" s="20" t="s">
        <v>49</v>
      </c>
      <c r="N105" s="23" t="s">
        <v>2016</v>
      </c>
      <c r="O105" s="23" t="str">
        <f>IFERROR(VLOOKUP($G105,'DB2'!$A:$B,2,0),"공동과책 확인")</f>
        <v>공동과책 확인</v>
      </c>
      <c r="P105" s="23" t="s">
        <v>1901</v>
      </c>
      <c r="Q105" s="23"/>
      <c r="R105" s="23" t="str">
        <f>IFERROR(VLOOKUP($I105,'DB2'!$F$2:$I$50,2,0),"옛날 부서명 확인")</f>
        <v>Spatial Planning and Management Division</v>
      </c>
      <c r="S105" s="23" t="str">
        <f>IFERROR(VLOOKUP($I105,'DB2'!$F$2:$I$50,4,0),"옛날 부서명 확인")</f>
        <v xml:space="preserve">Land and Environment Research Group </v>
      </c>
    </row>
    <row r="106" spans="1:19" ht="22.5" hidden="1" customHeight="1">
      <c r="A106" s="19" t="s">
        <v>552</v>
      </c>
      <c r="B106" s="19" t="s">
        <v>22</v>
      </c>
      <c r="C106" s="19" t="s">
        <v>553</v>
      </c>
      <c r="D106" s="20" t="s">
        <v>554</v>
      </c>
      <c r="E106" s="20"/>
      <c r="F106" s="20" t="s">
        <v>362</v>
      </c>
      <c r="G106" s="19" t="s">
        <v>555</v>
      </c>
      <c r="H106" s="20" t="s">
        <v>364</v>
      </c>
      <c r="I106" s="20" t="s">
        <v>204</v>
      </c>
      <c r="J106" s="21">
        <v>90909090</v>
      </c>
      <c r="K106" s="22">
        <v>45751</v>
      </c>
      <c r="L106" s="22">
        <v>46010</v>
      </c>
      <c r="M106" s="20" t="s">
        <v>302</v>
      </c>
      <c r="N106" s="23" t="s">
        <v>2017</v>
      </c>
      <c r="O106" s="23" t="str">
        <f>IFERROR(VLOOKUP($G106,'DB2'!$A:$B,2,0),"공동과책 확인")</f>
        <v xml:space="preserve">Han, Jihyun </v>
      </c>
      <c r="P106" s="23" t="s">
        <v>1905</v>
      </c>
      <c r="Q106" s="23"/>
      <c r="R106" s="23" t="str">
        <f>IFERROR(VLOOKUP($I106,'DB2'!$F$2:$I$50,2,0),"옛날 부서명 확인")</f>
        <v>Atmospheric Environment Division</v>
      </c>
      <c r="S106" s="23" t="str">
        <f>IFERROR(VLOOKUP($I106,'DB2'!$F$2:$I$50,4,0),"옛날 부서명 확인")</f>
        <v xml:space="preserve">Climate and Atmospheric Strategy Research Group  </v>
      </c>
    </row>
    <row r="107" spans="1:19" ht="22.5" hidden="1" customHeight="1">
      <c r="A107" s="19" t="s">
        <v>556</v>
      </c>
      <c r="B107" s="19" t="s">
        <v>22</v>
      </c>
      <c r="C107" s="19" t="s">
        <v>557</v>
      </c>
      <c r="D107" s="20" t="s">
        <v>558</v>
      </c>
      <c r="E107" s="20"/>
      <c r="F107" s="20" t="s">
        <v>153</v>
      </c>
      <c r="G107" s="19" t="s">
        <v>154</v>
      </c>
      <c r="H107" s="20" t="s">
        <v>559</v>
      </c>
      <c r="I107" s="20" t="s">
        <v>560</v>
      </c>
      <c r="J107" s="21">
        <v>48190910</v>
      </c>
      <c r="K107" s="22">
        <v>45755</v>
      </c>
      <c r="L107" s="22">
        <v>46056</v>
      </c>
      <c r="M107" s="20" t="s">
        <v>49</v>
      </c>
      <c r="N107" s="23" t="s">
        <v>2018</v>
      </c>
      <c r="O107" s="23" t="str">
        <f>IFERROR(VLOOKUP($G107,'DB2'!$A:$B,2,0),"공동과책 확인")</f>
        <v>Suh, Yang-won</v>
      </c>
      <c r="P107" s="23" t="s">
        <v>1903</v>
      </c>
      <c r="Q107" s="23" t="s">
        <v>1911</v>
      </c>
      <c r="R107" s="23" t="str">
        <f>IFERROR(VLOOKUP($I107,'DB2'!$F$2:$I$50,2,0),"옛날 부서명 확인")</f>
        <v xml:space="preserve">Sustainable Development Research Group  </v>
      </c>
      <c r="S107" s="23" t="str">
        <f>IFERROR(VLOOKUP($I107,'DB2'!$F$2:$I$50,4,0),"옛날 부서명 확인")</f>
        <v xml:space="preserve">Sustainable Development Research Group  </v>
      </c>
    </row>
    <row r="108" spans="1:19" ht="22.5" hidden="1" customHeight="1">
      <c r="A108" s="19" t="s">
        <v>561</v>
      </c>
      <c r="B108" s="19" t="s">
        <v>22</v>
      </c>
      <c r="C108" s="19" t="s">
        <v>562</v>
      </c>
      <c r="D108" s="20" t="s">
        <v>563</v>
      </c>
      <c r="E108" s="20"/>
      <c r="F108" s="20" t="s">
        <v>428</v>
      </c>
      <c r="G108" s="19" t="s">
        <v>429</v>
      </c>
      <c r="H108" s="20" t="s">
        <v>364</v>
      </c>
      <c r="I108" s="20" t="s">
        <v>204</v>
      </c>
      <c r="J108" s="21">
        <v>220366360</v>
      </c>
      <c r="K108" s="22">
        <v>45755</v>
      </c>
      <c r="L108" s="22">
        <v>46025</v>
      </c>
      <c r="M108" s="20" t="s">
        <v>564</v>
      </c>
      <c r="N108" s="23" t="s">
        <v>2019</v>
      </c>
      <c r="O108" s="23" t="str">
        <f>IFERROR(VLOOKUP($G108,'DB2'!$A:$B,2,0),"공동과책 확인")</f>
        <v>Lee, Seungmin</v>
      </c>
      <c r="P108" s="23" t="s">
        <v>1905</v>
      </c>
      <c r="Q108" s="23"/>
      <c r="R108" s="23" t="str">
        <f>IFERROR(VLOOKUP($I108,'DB2'!$F$2:$I$50,2,0),"옛날 부서명 확인")</f>
        <v>Atmospheric Environment Division</v>
      </c>
      <c r="S108" s="23" t="str">
        <f>IFERROR(VLOOKUP($I108,'DB2'!$F$2:$I$50,4,0),"옛날 부서명 확인")</f>
        <v xml:space="preserve">Climate and Atmospheric Strategy Research Group  </v>
      </c>
    </row>
    <row r="109" spans="1:19" ht="22.5" hidden="1" customHeight="1">
      <c r="A109" s="19" t="s">
        <v>565</v>
      </c>
      <c r="B109" s="19" t="s">
        <v>22</v>
      </c>
      <c r="C109" s="19" t="s">
        <v>566</v>
      </c>
      <c r="D109" s="20" t="s">
        <v>567</v>
      </c>
      <c r="E109" s="20"/>
      <c r="F109" s="20" t="s">
        <v>255</v>
      </c>
      <c r="G109" s="19" t="s">
        <v>256</v>
      </c>
      <c r="H109" s="20" t="s">
        <v>257</v>
      </c>
      <c r="I109" s="20" t="s">
        <v>156</v>
      </c>
      <c r="J109" s="21">
        <v>263250000</v>
      </c>
      <c r="K109" s="22">
        <v>45735</v>
      </c>
      <c r="L109" s="22">
        <v>46022</v>
      </c>
      <c r="M109" s="20" t="s">
        <v>568</v>
      </c>
      <c r="N109" s="23" t="s">
        <v>2020</v>
      </c>
      <c r="O109" s="23" t="str">
        <f>IFERROR(VLOOKUP($G109,'DB2'!$A:$B,2,0),"공동과책 확인")</f>
        <v>Bae, Hyun-Joo</v>
      </c>
      <c r="P109" s="23" t="s">
        <v>1904</v>
      </c>
      <c r="Q109" s="23" t="s">
        <v>1903</v>
      </c>
      <c r="R109" s="23" t="str">
        <f>IFERROR(VLOOKUP($I109,'DB2'!$F$2:$I$50,2,0),"옛날 부서명 확인")</f>
        <v xml:space="preserve">Environmental Health Division </v>
      </c>
      <c r="S109" s="23" t="str">
        <f>IFERROR(VLOOKUP($I109,'DB2'!$F$2:$I$50,4,0),"옛날 부서명 확인")</f>
        <v xml:space="preserve">Sustainable Development Research Group  </v>
      </c>
    </row>
    <row r="110" spans="1:19" ht="22.5" hidden="1" customHeight="1">
      <c r="A110" s="19" t="s">
        <v>569</v>
      </c>
      <c r="B110" s="19" t="s">
        <v>22</v>
      </c>
      <c r="C110" s="19" t="s">
        <v>570</v>
      </c>
      <c r="D110" s="20" t="s">
        <v>571</v>
      </c>
      <c r="E110" s="20"/>
      <c r="F110" s="20" t="s">
        <v>369</v>
      </c>
      <c r="G110" s="19" t="s">
        <v>370</v>
      </c>
      <c r="H110" s="20" t="s">
        <v>33</v>
      </c>
      <c r="I110" s="20" t="s">
        <v>28</v>
      </c>
      <c r="J110" s="21">
        <v>44090900</v>
      </c>
      <c r="K110" s="22">
        <v>45756</v>
      </c>
      <c r="L110" s="22">
        <v>45935</v>
      </c>
      <c r="M110" s="20" t="s">
        <v>572</v>
      </c>
      <c r="N110" s="23" t="s">
        <v>2021</v>
      </c>
      <c r="O110" s="23" t="str">
        <f>IFERROR(VLOOKUP($G110,'DB2'!$A:$B,2,0),"공동과책 확인")</f>
        <v>Kim, Choong-ki</v>
      </c>
      <c r="P110" s="23" t="s">
        <v>1909</v>
      </c>
      <c r="Q110" s="23"/>
      <c r="R110" s="23" t="str">
        <f>IFERROR(VLOOKUP($I110,'DB2'!$F$2:$I$50,2,0),"옛날 부서명 확인")</f>
        <v xml:space="preserve">Natural Environment Division </v>
      </c>
      <c r="S110" s="23" t="str">
        <f>IFERROR(VLOOKUP($I110,'DB2'!$F$2:$I$50,4,0),"옛날 부서명 확인")</f>
        <v xml:space="preserve">Land and Environment Research Group </v>
      </c>
    </row>
    <row r="111" spans="1:19" ht="22.5" hidden="1" customHeight="1">
      <c r="A111" s="19" t="s">
        <v>573</v>
      </c>
      <c r="B111" s="19" t="s">
        <v>22</v>
      </c>
      <c r="C111" s="19" t="s">
        <v>574</v>
      </c>
      <c r="D111" s="20" t="s">
        <v>575</v>
      </c>
      <c r="E111" s="20"/>
      <c r="F111" s="20" t="s">
        <v>400</v>
      </c>
      <c r="G111" s="19" t="s">
        <v>401</v>
      </c>
      <c r="H111" s="20" t="s">
        <v>221</v>
      </c>
      <c r="I111" s="20" t="s">
        <v>222</v>
      </c>
      <c r="J111" s="21">
        <v>105000000</v>
      </c>
      <c r="K111" s="22">
        <v>45748</v>
      </c>
      <c r="L111" s="22">
        <v>46022</v>
      </c>
      <c r="M111" s="20" t="s">
        <v>576</v>
      </c>
      <c r="N111" s="23" t="s">
        <v>2022</v>
      </c>
      <c r="O111" s="23" t="str">
        <f>IFERROR(VLOOKUP($G111,'DB2'!$A:$B,2,0),"공동과책 확인")</f>
        <v xml:space="preserve">Kim, Geunhan </v>
      </c>
      <c r="P111" s="23" t="s">
        <v>1901</v>
      </c>
      <c r="Q111" s="23" t="s">
        <v>1904</v>
      </c>
      <c r="R111" s="23" t="str">
        <f>IFERROR(VLOOKUP($I111,'DB2'!$F$2:$I$50,2,0),"옛날 부서명 확인")</f>
        <v>Spatial Planning and Management Division</v>
      </c>
      <c r="S111" s="23" t="str">
        <f>IFERROR(VLOOKUP($I111,'DB2'!$F$2:$I$50,4,0),"옛날 부서명 확인")</f>
        <v xml:space="preserve">Land and Environment Research Group </v>
      </c>
    </row>
    <row r="112" spans="1:19" ht="22.5" hidden="1" customHeight="1">
      <c r="A112" s="19" t="s">
        <v>577</v>
      </c>
      <c r="B112" s="19" t="s">
        <v>22</v>
      </c>
      <c r="C112" s="19" t="s">
        <v>578</v>
      </c>
      <c r="D112" s="20" t="s">
        <v>579</v>
      </c>
      <c r="E112" s="20"/>
      <c r="F112" s="20" t="s">
        <v>238</v>
      </c>
      <c r="G112" s="19" t="s">
        <v>239</v>
      </c>
      <c r="H112" s="20" t="s">
        <v>257</v>
      </c>
      <c r="I112" s="20" t="s">
        <v>156</v>
      </c>
      <c r="J112" s="21">
        <v>50000000</v>
      </c>
      <c r="K112" s="22">
        <v>45658</v>
      </c>
      <c r="L112" s="22">
        <v>46022</v>
      </c>
      <c r="M112" s="20" t="s">
        <v>371</v>
      </c>
      <c r="N112" s="23" t="s">
        <v>2023</v>
      </c>
      <c r="O112" s="23" t="str">
        <f>IFERROR(VLOOKUP($G112,'DB2'!$A:$B,2,0),"공동과책 확인")</f>
        <v xml:space="preserve">Jung, Dawoon </v>
      </c>
      <c r="P112" s="23" t="s">
        <v>1909</v>
      </c>
      <c r="Q112" s="23" t="s">
        <v>1903</v>
      </c>
      <c r="R112" s="23" t="str">
        <f>IFERROR(VLOOKUP($I112,'DB2'!$F$2:$I$50,2,0),"옛날 부서명 확인")</f>
        <v xml:space="preserve">Environmental Health Division </v>
      </c>
      <c r="S112" s="23" t="str">
        <f>IFERROR(VLOOKUP($I112,'DB2'!$F$2:$I$50,4,0),"옛날 부서명 확인")</f>
        <v xml:space="preserve">Sustainable Development Research Group  </v>
      </c>
    </row>
    <row r="113" spans="1:19" ht="22.5" hidden="1" customHeight="1">
      <c r="A113" s="19" t="s">
        <v>580</v>
      </c>
      <c r="B113" s="19" t="s">
        <v>22</v>
      </c>
      <c r="C113" s="19" t="s">
        <v>581</v>
      </c>
      <c r="D113" s="20" t="s">
        <v>582</v>
      </c>
      <c r="E113" s="20"/>
      <c r="F113" s="20" t="s">
        <v>583</v>
      </c>
      <c r="G113" s="19" t="s">
        <v>584</v>
      </c>
      <c r="H113" s="20" t="s">
        <v>455</v>
      </c>
      <c r="I113" s="20" t="s">
        <v>131</v>
      </c>
      <c r="J113" s="21">
        <v>40000000</v>
      </c>
      <c r="K113" s="22">
        <v>45742</v>
      </c>
      <c r="L113" s="22">
        <v>46048</v>
      </c>
      <c r="M113" s="20" t="s">
        <v>132</v>
      </c>
      <c r="N113" s="23" t="s">
        <v>2024</v>
      </c>
      <c r="O113" s="23" t="str">
        <f>IFERROR(VLOOKUP($G113,'DB2'!$A:$B,2,0),"공동과책 확인")</f>
        <v xml:space="preserve">Moon, Jongwoo </v>
      </c>
      <c r="P113" s="23" t="s">
        <v>1910</v>
      </c>
      <c r="Q113" s="23" t="s">
        <v>1913</v>
      </c>
      <c r="R113" s="23" t="str">
        <f>IFERROR(VLOOKUP($I113,'DB2'!$F$2:$I$50,2,0),"옛날 부서명 확인")</f>
        <v xml:space="preserve">Carbon Neutrality Division </v>
      </c>
      <c r="S113" s="23" t="str">
        <f>IFERROR(VLOOKUP($I113,'DB2'!$F$2:$I$50,4,0),"옛날 부서명 확인")</f>
        <v xml:space="preserve">Climate and Atmospheric Strategy Research Group  </v>
      </c>
    </row>
    <row r="114" spans="1:19" ht="22.5" hidden="1" customHeight="1">
      <c r="A114" s="19" t="s">
        <v>585</v>
      </c>
      <c r="B114" s="19" t="s">
        <v>22</v>
      </c>
      <c r="C114" s="19" t="s">
        <v>586</v>
      </c>
      <c r="D114" s="20" t="s">
        <v>587</v>
      </c>
      <c r="E114" s="20"/>
      <c r="F114" s="20" t="s">
        <v>588</v>
      </c>
      <c r="G114" s="19" t="s">
        <v>589</v>
      </c>
      <c r="H114" s="20" t="s">
        <v>211</v>
      </c>
      <c r="I114" s="20" t="s">
        <v>212</v>
      </c>
      <c r="J114" s="21">
        <v>177100000</v>
      </c>
      <c r="K114" s="22">
        <v>45757</v>
      </c>
      <c r="L114" s="22">
        <v>45996</v>
      </c>
      <c r="M114" s="20" t="s">
        <v>49</v>
      </c>
      <c r="N114" s="23" t="s">
        <v>2025</v>
      </c>
      <c r="O114" s="23" t="str">
        <f>IFERROR(VLOOKUP($G114,'DB2'!$A:$B,2,0),"공동과책 확인")</f>
        <v xml:space="preserve">Oh, Myoungjin </v>
      </c>
      <c r="P114" s="23" t="s">
        <v>1906</v>
      </c>
      <c r="Q114" s="23" t="s">
        <v>1910</v>
      </c>
      <c r="R114" s="23" t="str">
        <f>IFERROR(VLOOKUP($I114,'DB2'!$F$2:$I$50,2,0),"옛날 부서명 확인")</f>
        <v xml:space="preserve">Water Management Division </v>
      </c>
      <c r="S114" s="23" t="str">
        <f>IFERROR(VLOOKUP($I114,'DB2'!$F$2:$I$50,4,0),"옛날 부서명 확인")</f>
        <v xml:space="preserve">Land and Environment Research Group </v>
      </c>
    </row>
    <row r="115" spans="1:19" ht="22.5" hidden="1" customHeight="1">
      <c r="A115" s="19" t="s">
        <v>590</v>
      </c>
      <c r="B115" s="19" t="s">
        <v>22</v>
      </c>
      <c r="C115" s="19" t="s">
        <v>591</v>
      </c>
      <c r="D115" s="20" t="s">
        <v>592</v>
      </c>
      <c r="E115" s="20"/>
      <c r="F115" s="20" t="s">
        <v>266</v>
      </c>
      <c r="G115" s="19" t="s">
        <v>267</v>
      </c>
      <c r="H115" s="20" t="s">
        <v>268</v>
      </c>
      <c r="I115" s="20" t="s">
        <v>269</v>
      </c>
      <c r="J115" s="21">
        <v>151800000</v>
      </c>
      <c r="K115" s="22">
        <v>45757</v>
      </c>
      <c r="L115" s="22">
        <v>45999</v>
      </c>
      <c r="M115" s="20" t="s">
        <v>593</v>
      </c>
      <c r="N115" s="23" t="s">
        <v>2026</v>
      </c>
      <c r="O115" s="23" t="str">
        <f>IFERROR(VLOOKUP($G115,'DB2'!$A:$B,2,0),"공동과책 확인")</f>
        <v>Shin, Sang-Cheol</v>
      </c>
      <c r="P115" s="23" t="s">
        <v>1910</v>
      </c>
      <c r="Q115" s="23"/>
      <c r="R115" s="23" t="str">
        <f>IFERROR(VLOOKUP($I115,'DB2'!$F$2:$I$50,2,0),"옛날 부서명 확인")</f>
        <v xml:space="preserve">Circular Economy Division </v>
      </c>
      <c r="S115" s="23" t="str">
        <f>IFERROR(VLOOKUP($I115,'DB2'!$F$2:$I$50,4,0),"옛날 부서명 확인")</f>
        <v xml:space="preserve">Sustainable Development Research Group  </v>
      </c>
    </row>
    <row r="116" spans="1:19" ht="22.5" hidden="1" customHeight="1">
      <c r="A116" s="19" t="s">
        <v>594</v>
      </c>
      <c r="B116" s="19" t="s">
        <v>22</v>
      </c>
      <c r="C116" s="19" t="s">
        <v>595</v>
      </c>
      <c r="D116" s="20" t="s">
        <v>596</v>
      </c>
      <c r="E116" s="20"/>
      <c r="F116" s="20" t="s">
        <v>53</v>
      </c>
      <c r="G116" s="19" t="s">
        <v>54</v>
      </c>
      <c r="H116" s="20" t="s">
        <v>33</v>
      </c>
      <c r="I116" s="20" t="s">
        <v>28</v>
      </c>
      <c r="J116" s="21">
        <v>150000000</v>
      </c>
      <c r="K116" s="22">
        <v>45748</v>
      </c>
      <c r="L116" s="22">
        <v>46022</v>
      </c>
      <c r="M116" s="20" t="s">
        <v>371</v>
      </c>
      <c r="N116" s="23" t="s">
        <v>2027</v>
      </c>
      <c r="O116" s="23" t="str">
        <f>IFERROR(VLOOKUP($G116,'DB2'!$A:$B,2,0),"공동과책 확인")</f>
        <v xml:space="preserve">Koo, Kyung Ah </v>
      </c>
      <c r="P116" s="23" t="s">
        <v>1909</v>
      </c>
      <c r="Q116" s="23"/>
      <c r="R116" s="23" t="str">
        <f>IFERROR(VLOOKUP($I116,'DB2'!$F$2:$I$50,2,0),"옛날 부서명 확인")</f>
        <v xml:space="preserve">Natural Environment Division </v>
      </c>
      <c r="S116" s="23" t="str">
        <f>IFERROR(VLOOKUP($I116,'DB2'!$F$2:$I$50,4,0),"옛날 부서명 확인")</f>
        <v xml:space="preserve">Land and Environment Research Group </v>
      </c>
    </row>
    <row r="117" spans="1:19" ht="22.5" hidden="1" customHeight="1">
      <c r="A117" s="19" t="s">
        <v>597</v>
      </c>
      <c r="B117" s="19" t="s">
        <v>22</v>
      </c>
      <c r="C117" s="19" t="s">
        <v>598</v>
      </c>
      <c r="D117" s="20" t="s">
        <v>599</v>
      </c>
      <c r="E117" s="20"/>
      <c r="F117" s="20" t="s">
        <v>600</v>
      </c>
      <c r="G117" s="19" t="s">
        <v>601</v>
      </c>
      <c r="H117" s="20" t="s">
        <v>268</v>
      </c>
      <c r="I117" s="20" t="s">
        <v>269</v>
      </c>
      <c r="J117" s="21">
        <v>68700000</v>
      </c>
      <c r="K117" s="22">
        <v>45761</v>
      </c>
      <c r="L117" s="22">
        <v>46030</v>
      </c>
      <c r="M117" s="20" t="s">
        <v>49</v>
      </c>
      <c r="N117" s="23" t="s">
        <v>2028</v>
      </c>
      <c r="O117" s="23" t="str">
        <f>IFERROR(VLOOKUP($G117,'DB2'!$A:$B,2,0),"공동과책 확인")</f>
        <v>Jo, Ji Hye</v>
      </c>
      <c r="P117" s="23" t="s">
        <v>1900</v>
      </c>
      <c r="Q117" s="23"/>
      <c r="R117" s="23" t="str">
        <f>IFERROR(VLOOKUP($I117,'DB2'!$F$2:$I$50,2,0),"옛날 부서명 확인")</f>
        <v xml:space="preserve">Circular Economy Division </v>
      </c>
      <c r="S117" s="23" t="str">
        <f>IFERROR(VLOOKUP($I117,'DB2'!$F$2:$I$50,4,0),"옛날 부서명 확인")</f>
        <v xml:space="preserve">Sustainable Development Research Group  </v>
      </c>
    </row>
    <row r="118" spans="1:19" ht="22.5" hidden="1" customHeight="1">
      <c r="A118" s="19" t="s">
        <v>602</v>
      </c>
      <c r="B118" s="19" t="s">
        <v>22</v>
      </c>
      <c r="C118" s="19" t="s">
        <v>603</v>
      </c>
      <c r="D118" s="20" t="s">
        <v>604</v>
      </c>
      <c r="E118" s="20"/>
      <c r="F118" s="20" t="s">
        <v>605</v>
      </c>
      <c r="G118" s="19" t="s">
        <v>606</v>
      </c>
      <c r="H118" s="20" t="s">
        <v>33</v>
      </c>
      <c r="I118" s="20" t="s">
        <v>28</v>
      </c>
      <c r="J118" s="21">
        <v>190000000</v>
      </c>
      <c r="K118" s="22">
        <v>45762</v>
      </c>
      <c r="L118" s="22">
        <v>46061</v>
      </c>
      <c r="M118" s="20" t="s">
        <v>49</v>
      </c>
      <c r="N118" s="23" t="s">
        <v>2029</v>
      </c>
      <c r="O118" s="23" t="str">
        <f>IFERROR(VLOOKUP($G118,'DB2'!$A:$B,2,0),"공동과책 확인")</f>
        <v>Hong, Hyunjung</v>
      </c>
      <c r="P118" s="23" t="s">
        <v>1901</v>
      </c>
      <c r="Q118" s="23" t="s">
        <v>1902</v>
      </c>
      <c r="R118" s="23" t="str">
        <f>IFERROR(VLOOKUP($I118,'DB2'!$F$2:$I$50,2,0),"옛날 부서명 확인")</f>
        <v xml:space="preserve">Natural Environment Division </v>
      </c>
      <c r="S118" s="23" t="str">
        <f>IFERROR(VLOOKUP($I118,'DB2'!$F$2:$I$50,4,0),"옛날 부서명 확인")</f>
        <v xml:space="preserve">Land and Environment Research Group </v>
      </c>
    </row>
    <row r="119" spans="1:19" ht="22.5" hidden="1" customHeight="1">
      <c r="A119" s="19" t="s">
        <v>607</v>
      </c>
      <c r="B119" s="19" t="s">
        <v>22</v>
      </c>
      <c r="C119" s="19" t="s">
        <v>608</v>
      </c>
      <c r="D119" s="20" t="s">
        <v>609</v>
      </c>
      <c r="E119" s="20"/>
      <c r="F119" s="20" t="s">
        <v>610</v>
      </c>
      <c r="G119" s="19" t="s">
        <v>611</v>
      </c>
      <c r="H119" s="20" t="s">
        <v>438</v>
      </c>
      <c r="I119" s="20" t="s">
        <v>439</v>
      </c>
      <c r="J119" s="21">
        <v>44800000</v>
      </c>
      <c r="K119" s="22">
        <v>45764</v>
      </c>
      <c r="L119" s="22">
        <v>46003</v>
      </c>
      <c r="M119" s="20" t="s">
        <v>49</v>
      </c>
      <c r="N119" s="23" t="s">
        <v>2030</v>
      </c>
      <c r="O119" s="23" t="str">
        <f>IFERROR(VLOOKUP($G119,'DB2'!$A:$B,2,0),"공동과책 확인")</f>
        <v>Lee, Byungkwon</v>
      </c>
      <c r="P119" s="23" t="s">
        <v>1915</v>
      </c>
      <c r="Q119" s="23" t="s">
        <v>1904</v>
      </c>
      <c r="R119" s="23" t="str">
        <f>IFERROR(VLOOKUP($I119,'DB2'!$F$2:$I$50,2,0),"옛날 부서명 확인")</f>
        <v xml:space="preserve">Land Strategy Assessment Division </v>
      </c>
      <c r="S119" s="23" t="str">
        <f>IFERROR(VLOOKUP($I119,'DB2'!$F$2:$I$50,4,0),"옛날 부서명 확인")</f>
        <v xml:space="preserve">Environmental Assessment Group </v>
      </c>
    </row>
    <row r="120" spans="1:19" ht="22.5" hidden="1" customHeight="1">
      <c r="A120" s="19" t="s">
        <v>612</v>
      </c>
      <c r="B120" s="19" t="s">
        <v>22</v>
      </c>
      <c r="C120" s="19" t="s">
        <v>613</v>
      </c>
      <c r="D120" s="20" t="s">
        <v>614</v>
      </c>
      <c r="E120" s="20"/>
      <c r="F120" s="20" t="s">
        <v>103</v>
      </c>
      <c r="G120" s="19" t="s">
        <v>104</v>
      </c>
      <c r="H120" s="20" t="s">
        <v>352</v>
      </c>
      <c r="I120" s="20" t="s">
        <v>353</v>
      </c>
      <c r="J120" s="21">
        <v>300000000</v>
      </c>
      <c r="K120" s="22">
        <v>45748</v>
      </c>
      <c r="L120" s="22">
        <v>46022</v>
      </c>
      <c r="M120" s="20" t="s">
        <v>466</v>
      </c>
      <c r="N120" s="23" t="s">
        <v>2031</v>
      </c>
      <c r="O120" s="23" t="str">
        <f>IFERROR(VLOOKUP($G120,'DB2'!$A:$B,2,0),"공동과책 확인")</f>
        <v>Kang, Sungwon</v>
      </c>
      <c r="P120" s="23" t="s">
        <v>1910</v>
      </c>
      <c r="Q120" s="23" t="s">
        <v>1902</v>
      </c>
      <c r="R120" s="23" t="str">
        <f>IFERROR(VLOOKUP($I120,'DB2'!$F$2:$I$50,2,0),"옛날 부서명 확인")</f>
        <v xml:space="preserve">Green Economy Division </v>
      </c>
      <c r="S120" s="23" t="str">
        <f>IFERROR(VLOOKUP($I120,'DB2'!$F$2:$I$50,4,0),"옛날 부서명 확인")</f>
        <v xml:space="preserve">Climate and Atmospheric Strategy Research Group  </v>
      </c>
    </row>
    <row r="121" spans="1:19" ht="22.5" hidden="1" customHeight="1">
      <c r="A121" s="19" t="s">
        <v>615</v>
      </c>
      <c r="B121" s="19" t="s">
        <v>22</v>
      </c>
      <c r="C121" s="19" t="s">
        <v>616</v>
      </c>
      <c r="D121" s="20" t="s">
        <v>617</v>
      </c>
      <c r="E121" s="20"/>
      <c r="F121" s="20" t="s">
        <v>238</v>
      </c>
      <c r="G121" s="19" t="s">
        <v>239</v>
      </c>
      <c r="H121" s="20" t="s">
        <v>257</v>
      </c>
      <c r="I121" s="20" t="s">
        <v>156</v>
      </c>
      <c r="J121" s="21">
        <v>169599270</v>
      </c>
      <c r="K121" s="22">
        <v>45765</v>
      </c>
      <c r="L121" s="22">
        <v>46065</v>
      </c>
      <c r="M121" s="20" t="s">
        <v>205</v>
      </c>
      <c r="N121" s="23" t="s">
        <v>2032</v>
      </c>
      <c r="O121" s="23" t="str">
        <f>IFERROR(VLOOKUP($G121,'DB2'!$A:$B,2,0),"공동과책 확인")</f>
        <v xml:space="preserve">Jung, Dawoon </v>
      </c>
      <c r="P121" s="23" t="s">
        <v>1903</v>
      </c>
      <c r="Q121" s="23"/>
      <c r="R121" s="23" t="str">
        <f>IFERROR(VLOOKUP($I121,'DB2'!$F$2:$I$50,2,0),"옛날 부서명 확인")</f>
        <v xml:space="preserve">Environmental Health Division </v>
      </c>
      <c r="S121" s="23" t="str">
        <f>IFERROR(VLOOKUP($I121,'DB2'!$F$2:$I$50,4,0),"옛날 부서명 확인")</f>
        <v xml:space="preserve">Sustainable Development Research Group  </v>
      </c>
    </row>
    <row r="122" spans="1:19" ht="22.5" hidden="1" customHeight="1">
      <c r="A122" s="19" t="s">
        <v>618</v>
      </c>
      <c r="B122" s="19" t="s">
        <v>22</v>
      </c>
      <c r="C122" s="19" t="s">
        <v>619</v>
      </c>
      <c r="D122" s="20" t="s">
        <v>620</v>
      </c>
      <c r="E122" s="20"/>
      <c r="F122" s="20" t="s">
        <v>621</v>
      </c>
      <c r="G122" s="19" t="s">
        <v>622</v>
      </c>
      <c r="H122" s="20" t="s">
        <v>364</v>
      </c>
      <c r="I122" s="20" t="s">
        <v>204</v>
      </c>
      <c r="J122" s="21">
        <v>81800000</v>
      </c>
      <c r="K122" s="22">
        <v>45770</v>
      </c>
      <c r="L122" s="22">
        <v>46001</v>
      </c>
      <c r="M122" s="20" t="s">
        <v>440</v>
      </c>
      <c r="N122" s="23" t="s">
        <v>2033</v>
      </c>
      <c r="O122" s="23" t="str">
        <f>IFERROR(VLOOKUP($G122,'DB2'!$A:$B,2,0),"공동과책 확인")</f>
        <v>Choi, Ki-Chul</v>
      </c>
      <c r="P122" s="23" t="s">
        <v>1905</v>
      </c>
      <c r="Q122" s="23"/>
      <c r="R122" s="23" t="str">
        <f>IFERROR(VLOOKUP($I122,'DB2'!$F$2:$I$50,2,0),"옛날 부서명 확인")</f>
        <v>Atmospheric Environment Division</v>
      </c>
      <c r="S122" s="23" t="str">
        <f>IFERROR(VLOOKUP($I122,'DB2'!$F$2:$I$50,4,0),"옛날 부서명 확인")</f>
        <v xml:space="preserve">Climate and Atmospheric Strategy Research Group  </v>
      </c>
    </row>
    <row r="123" spans="1:19" ht="22.5" hidden="1" customHeight="1">
      <c r="A123" s="19" t="s">
        <v>623</v>
      </c>
      <c r="B123" s="19" t="s">
        <v>22</v>
      </c>
      <c r="C123" s="19" t="s">
        <v>624</v>
      </c>
      <c r="D123" s="20" t="s">
        <v>625</v>
      </c>
      <c r="E123" s="20"/>
      <c r="F123" s="20" t="s">
        <v>626</v>
      </c>
      <c r="G123" s="19" t="s">
        <v>627</v>
      </c>
      <c r="H123" s="20" t="s">
        <v>411</v>
      </c>
      <c r="I123" s="20" t="s">
        <v>412</v>
      </c>
      <c r="J123" s="21">
        <v>49200000</v>
      </c>
      <c r="K123" s="22">
        <v>45770</v>
      </c>
      <c r="L123" s="22">
        <v>45991</v>
      </c>
      <c r="M123" s="20" t="s">
        <v>49</v>
      </c>
      <c r="N123" s="23" t="s">
        <v>2034</v>
      </c>
      <c r="O123" s="23" t="str">
        <f>IFERROR(VLOOKUP($G123,'DB2'!$A:$B,2,0),"공동과책 확인")</f>
        <v>Ha, Jongsik</v>
      </c>
      <c r="P123" s="23" t="s">
        <v>1907</v>
      </c>
      <c r="Q123" s="23" t="s">
        <v>1903</v>
      </c>
      <c r="R123" s="23" t="str">
        <f>IFERROR(VLOOKUP($I123,'DB2'!$F$2:$I$50,2,0),"옛날 부서명 확인")</f>
        <v xml:space="preserve">Social Infrastructure Assessment Division </v>
      </c>
      <c r="S123" s="23" t="str">
        <f>IFERROR(VLOOKUP($I123,'DB2'!$F$2:$I$50,4,0),"옛날 부서명 확인")</f>
        <v xml:space="preserve">Environmental Assessment Group </v>
      </c>
    </row>
    <row r="124" spans="1:19" ht="22.5" hidden="1" customHeight="1">
      <c r="A124" s="19" t="s">
        <v>628</v>
      </c>
      <c r="B124" s="19" t="s">
        <v>22</v>
      </c>
      <c r="C124" s="19" t="s">
        <v>629</v>
      </c>
      <c r="D124" s="20" t="s">
        <v>630</v>
      </c>
      <c r="E124" s="20"/>
      <c r="F124" s="20" t="s">
        <v>631</v>
      </c>
      <c r="G124" s="19" t="s">
        <v>632</v>
      </c>
      <c r="H124" s="20" t="s">
        <v>211</v>
      </c>
      <c r="I124" s="20" t="s">
        <v>212</v>
      </c>
      <c r="J124" s="21">
        <v>39600000</v>
      </c>
      <c r="K124" s="22">
        <v>45770</v>
      </c>
      <c r="L124" s="22">
        <v>45979</v>
      </c>
      <c r="M124" s="20" t="s">
        <v>49</v>
      </c>
      <c r="N124" s="23" t="s">
        <v>2035</v>
      </c>
      <c r="O124" s="23" t="str">
        <f>IFERROR(VLOOKUP($G124,'DB2'!$A:$B,2,0),"공동과책 확인")</f>
        <v>Kim, Yeonjoong</v>
      </c>
      <c r="P124" s="23" t="s">
        <v>1906</v>
      </c>
      <c r="Q124" s="23" t="s">
        <v>1900</v>
      </c>
      <c r="R124" s="23" t="str">
        <f>IFERROR(VLOOKUP($I124,'DB2'!$F$2:$I$50,2,0),"옛날 부서명 확인")</f>
        <v xml:space="preserve">Water Management Division </v>
      </c>
      <c r="S124" s="23" t="str">
        <f>IFERROR(VLOOKUP($I124,'DB2'!$F$2:$I$50,4,0),"옛날 부서명 확인")</f>
        <v xml:space="preserve">Land and Environment Research Group </v>
      </c>
    </row>
    <row r="125" spans="1:19" ht="22.5" hidden="1" customHeight="1">
      <c r="A125" s="19" t="s">
        <v>633</v>
      </c>
      <c r="B125" s="19" t="s">
        <v>22</v>
      </c>
      <c r="C125" s="19" t="s">
        <v>634</v>
      </c>
      <c r="D125" s="20" t="s">
        <v>635</v>
      </c>
      <c r="E125" s="20"/>
      <c r="F125" s="20" t="s">
        <v>201</v>
      </c>
      <c r="G125" s="19" t="s">
        <v>202</v>
      </c>
      <c r="H125" s="20" t="s">
        <v>364</v>
      </c>
      <c r="I125" s="20" t="s">
        <v>204</v>
      </c>
      <c r="J125" s="21">
        <v>54000000</v>
      </c>
      <c r="K125" s="22">
        <v>45772</v>
      </c>
      <c r="L125" s="22">
        <v>45982</v>
      </c>
      <c r="M125" s="20" t="s">
        <v>636</v>
      </c>
      <c r="N125" s="23" t="s">
        <v>2036</v>
      </c>
      <c r="O125" s="23" t="str">
        <f>IFERROR(VLOOKUP($G125,'DB2'!$A:$B,2,0),"공동과책 확인")</f>
        <v>Gong, Sungyong</v>
      </c>
      <c r="P125" s="23" t="s">
        <v>1905</v>
      </c>
      <c r="Q125" s="23"/>
      <c r="R125" s="23" t="str">
        <f>IFERROR(VLOOKUP($I125,'DB2'!$F$2:$I$50,2,0),"옛날 부서명 확인")</f>
        <v>Atmospheric Environment Division</v>
      </c>
      <c r="S125" s="23" t="str">
        <f>IFERROR(VLOOKUP($I125,'DB2'!$F$2:$I$50,4,0),"옛날 부서명 확인")</f>
        <v xml:space="preserve">Climate and Atmospheric Strategy Research Group  </v>
      </c>
    </row>
    <row r="126" spans="1:19" ht="22.5" hidden="1" customHeight="1">
      <c r="A126" s="19" t="s">
        <v>637</v>
      </c>
      <c r="B126" s="19" t="s">
        <v>22</v>
      </c>
      <c r="C126" s="19" t="s">
        <v>638</v>
      </c>
      <c r="D126" s="20" t="s">
        <v>639</v>
      </c>
      <c r="E126" s="20"/>
      <c r="F126" s="20" t="s">
        <v>167</v>
      </c>
      <c r="G126" s="19" t="s">
        <v>640</v>
      </c>
      <c r="H126" s="20" t="s">
        <v>641</v>
      </c>
      <c r="I126" s="20" t="s">
        <v>642</v>
      </c>
      <c r="J126" s="21">
        <v>151000000</v>
      </c>
      <c r="K126" s="22">
        <v>45776</v>
      </c>
      <c r="L126" s="22">
        <v>46045</v>
      </c>
      <c r="M126" s="20" t="s">
        <v>49</v>
      </c>
      <c r="N126" s="23" t="s">
        <v>2037</v>
      </c>
      <c r="O126" s="23" t="str">
        <f>IFERROR(VLOOKUP($G126,'DB2'!$A:$B,2,0),"공동과책 확인")</f>
        <v>공동과책 확인</v>
      </c>
      <c r="P126" s="23" t="s">
        <v>1901</v>
      </c>
      <c r="Q126" s="23"/>
      <c r="R126" s="23" t="str">
        <f>IFERROR(VLOOKUP($I126,'DB2'!$F$2:$I$50,2,0),"옛날 부서명 확인")</f>
        <v>Executive Office</v>
      </c>
      <c r="S126" s="23" t="str">
        <f>IFERROR(VLOOKUP($I126,'DB2'!$F$2:$I$50,4,0),"옛날 부서명 확인")</f>
        <v>Executive Office</v>
      </c>
    </row>
    <row r="127" spans="1:19" ht="22.5" hidden="1" customHeight="1">
      <c r="A127" s="19" t="s">
        <v>643</v>
      </c>
      <c r="B127" s="19" t="s">
        <v>22</v>
      </c>
      <c r="C127" s="19" t="s">
        <v>644</v>
      </c>
      <c r="D127" s="20" t="s">
        <v>645</v>
      </c>
      <c r="E127" s="20"/>
      <c r="F127" s="20" t="s">
        <v>646</v>
      </c>
      <c r="G127" s="19" t="s">
        <v>647</v>
      </c>
      <c r="H127" s="20" t="s">
        <v>455</v>
      </c>
      <c r="I127" s="20" t="s">
        <v>131</v>
      </c>
      <c r="J127" s="21">
        <v>700000000</v>
      </c>
      <c r="K127" s="22">
        <v>45748</v>
      </c>
      <c r="L127" s="22">
        <v>46022</v>
      </c>
      <c r="M127" s="20" t="s">
        <v>466</v>
      </c>
      <c r="N127" s="23" t="s">
        <v>2038</v>
      </c>
      <c r="O127" s="23" t="str">
        <f>IFERROR(VLOOKUP($G127,'DB2'!$A:$B,2,0),"공동과책 확인")</f>
        <v>Chae, Yeora</v>
      </c>
      <c r="P127" s="23" t="s">
        <v>1908</v>
      </c>
      <c r="Q127" s="23" t="s">
        <v>1911</v>
      </c>
      <c r="R127" s="23" t="str">
        <f>IFERROR(VLOOKUP($I127,'DB2'!$F$2:$I$50,2,0),"옛날 부서명 확인")</f>
        <v xml:space="preserve">Carbon Neutrality Division </v>
      </c>
      <c r="S127" s="23" t="str">
        <f>IFERROR(VLOOKUP($I127,'DB2'!$F$2:$I$50,4,0),"옛날 부서명 확인")</f>
        <v xml:space="preserve">Climate and Atmospheric Strategy Research Group  </v>
      </c>
    </row>
    <row r="128" spans="1:19" ht="22.5" hidden="1" customHeight="1">
      <c r="A128" s="19" t="s">
        <v>648</v>
      </c>
      <c r="B128" s="19" t="s">
        <v>22</v>
      </c>
      <c r="C128" s="19" t="s">
        <v>649</v>
      </c>
      <c r="D128" s="20" t="s">
        <v>650</v>
      </c>
      <c r="E128" s="20"/>
      <c r="F128" s="20" t="s">
        <v>501</v>
      </c>
      <c r="G128" s="19" t="s">
        <v>502</v>
      </c>
      <c r="H128" s="20" t="s">
        <v>316</v>
      </c>
      <c r="I128" s="20" t="s">
        <v>317</v>
      </c>
      <c r="J128" s="21">
        <v>37500000</v>
      </c>
      <c r="K128" s="22">
        <v>45748</v>
      </c>
      <c r="L128" s="22">
        <v>47118</v>
      </c>
      <c r="M128" s="20" t="s">
        <v>416</v>
      </c>
      <c r="N128" s="23" t="s">
        <v>2039</v>
      </c>
      <c r="O128" s="23" t="str">
        <f>IFERROR(VLOOKUP($G128,'DB2'!$A:$B,2,0),"공동과책 확인")</f>
        <v xml:space="preserve">Song, Jiyoon </v>
      </c>
      <c r="P128" s="23" t="s">
        <v>1901</v>
      </c>
      <c r="Q128" s="23" t="s">
        <v>1913</v>
      </c>
      <c r="R128" s="23" t="str">
        <f>IFERROR(VLOOKUP($I128,'DB2'!$F$2:$I$50,2,0),"옛날 부서명 확인")</f>
        <v xml:space="preserve">Climate Adaptation Policy Division </v>
      </c>
      <c r="S128" s="23" t="str">
        <f>IFERROR(VLOOKUP($I128,'DB2'!$F$2:$I$50,4,0),"옛날 부서명 확인")</f>
        <v xml:space="preserve">Korea Adaptation Center for Climate Change </v>
      </c>
    </row>
    <row r="129" spans="1:19" ht="22.5" hidden="1" customHeight="1">
      <c r="A129" s="19" t="s">
        <v>651</v>
      </c>
      <c r="B129" s="19" t="s">
        <v>22</v>
      </c>
      <c r="C129" s="19" t="s">
        <v>652</v>
      </c>
      <c r="D129" s="20" t="s">
        <v>653</v>
      </c>
      <c r="E129" s="20"/>
      <c r="F129" s="20" t="s">
        <v>654</v>
      </c>
      <c r="G129" s="19" t="s">
        <v>655</v>
      </c>
      <c r="H129" s="20" t="s">
        <v>211</v>
      </c>
      <c r="I129" s="20" t="s">
        <v>212</v>
      </c>
      <c r="J129" s="21">
        <v>90909090</v>
      </c>
      <c r="K129" s="22">
        <v>45789</v>
      </c>
      <c r="L129" s="22">
        <v>46001</v>
      </c>
      <c r="M129" s="20" t="s">
        <v>466</v>
      </c>
      <c r="N129" s="23" t="s">
        <v>2040</v>
      </c>
      <c r="O129" s="23" t="str">
        <f>IFERROR(VLOOKUP($G129,'DB2'!$A:$B,2,0),"공동과책 확인")</f>
        <v>Lee, Jeongho</v>
      </c>
      <c r="P129" s="23" t="s">
        <v>1901</v>
      </c>
      <c r="Q129" s="23"/>
      <c r="R129" s="23" t="str">
        <f>IFERROR(VLOOKUP($I129,'DB2'!$F$2:$I$50,2,0),"옛날 부서명 확인")</f>
        <v xml:space="preserve">Water Management Division </v>
      </c>
      <c r="S129" s="23" t="str">
        <f>IFERROR(VLOOKUP($I129,'DB2'!$F$2:$I$50,4,0),"옛날 부서명 확인")</f>
        <v xml:space="preserve">Land and Environment Research Group </v>
      </c>
    </row>
    <row r="130" spans="1:19" ht="22.5" hidden="1" customHeight="1">
      <c r="A130" s="19" t="s">
        <v>656</v>
      </c>
      <c r="B130" s="19" t="s">
        <v>22</v>
      </c>
      <c r="C130" s="19" t="s">
        <v>657</v>
      </c>
      <c r="D130" s="20" t="s">
        <v>658</v>
      </c>
      <c r="E130" s="20"/>
      <c r="F130" s="20" t="s">
        <v>136</v>
      </c>
      <c r="G130" s="19" t="s">
        <v>137</v>
      </c>
      <c r="H130" s="20" t="s">
        <v>211</v>
      </c>
      <c r="I130" s="20" t="s">
        <v>212</v>
      </c>
      <c r="J130" s="21">
        <v>44800000</v>
      </c>
      <c r="K130" s="22">
        <v>45789</v>
      </c>
      <c r="L130" s="22">
        <v>45989</v>
      </c>
      <c r="M130" s="20" t="s">
        <v>49</v>
      </c>
      <c r="N130" s="23" t="s">
        <v>2041</v>
      </c>
      <c r="O130" s="23" t="str">
        <f>IFERROR(VLOOKUP($G130,'DB2'!$A:$B,2,0),"공동과책 확인")</f>
        <v>Han, Daeho</v>
      </c>
      <c r="P130" s="23" t="s">
        <v>1906</v>
      </c>
      <c r="Q130" s="23" t="s">
        <v>1903</v>
      </c>
      <c r="R130" s="23" t="str">
        <f>IFERROR(VLOOKUP($I130,'DB2'!$F$2:$I$50,2,0),"옛날 부서명 확인")</f>
        <v xml:space="preserve">Water Management Division </v>
      </c>
      <c r="S130" s="23" t="str">
        <f>IFERROR(VLOOKUP($I130,'DB2'!$F$2:$I$50,4,0),"옛날 부서명 확인")</f>
        <v xml:space="preserve">Land and Environment Research Group </v>
      </c>
    </row>
    <row r="131" spans="1:19" ht="22.5" hidden="1" customHeight="1">
      <c r="A131" s="19" t="s">
        <v>659</v>
      </c>
      <c r="B131" s="19" t="s">
        <v>22</v>
      </c>
      <c r="C131" s="19" t="s">
        <v>660</v>
      </c>
      <c r="D131" s="20" t="s">
        <v>661</v>
      </c>
      <c r="E131" s="20"/>
      <c r="F131" s="20" t="s">
        <v>96</v>
      </c>
      <c r="G131" s="19" t="s">
        <v>97</v>
      </c>
      <c r="H131" s="20" t="s">
        <v>211</v>
      </c>
      <c r="I131" s="20" t="s">
        <v>212</v>
      </c>
      <c r="J131" s="21">
        <v>96950000</v>
      </c>
      <c r="K131" s="22">
        <v>45790</v>
      </c>
      <c r="L131" s="22">
        <v>46154</v>
      </c>
      <c r="M131" s="20" t="s">
        <v>49</v>
      </c>
      <c r="N131" s="23" t="s">
        <v>2042</v>
      </c>
      <c r="O131" s="23" t="str">
        <f>IFERROR(VLOOKUP($G131,'DB2'!$A:$B,2,0),"공동과책 확인")</f>
        <v>Kim, Ikjae</v>
      </c>
      <c r="P131" s="23" t="s">
        <v>1906</v>
      </c>
      <c r="Q131" s="23" t="s">
        <v>1912</v>
      </c>
      <c r="R131" s="23" t="str">
        <f>IFERROR(VLOOKUP($I131,'DB2'!$F$2:$I$50,2,0),"옛날 부서명 확인")</f>
        <v xml:space="preserve">Water Management Division </v>
      </c>
      <c r="S131" s="23" t="str">
        <f>IFERROR(VLOOKUP($I131,'DB2'!$F$2:$I$50,4,0),"옛날 부서명 확인")</f>
        <v xml:space="preserve">Land and Environment Research Group </v>
      </c>
    </row>
    <row r="132" spans="1:19" ht="22.5" hidden="1" customHeight="1">
      <c r="A132" s="19" t="s">
        <v>662</v>
      </c>
      <c r="B132" s="19" t="s">
        <v>22</v>
      </c>
      <c r="C132" s="19" t="s">
        <v>663</v>
      </c>
      <c r="D132" s="20" t="s">
        <v>664</v>
      </c>
      <c r="E132" s="20"/>
      <c r="F132" s="20" t="s">
        <v>46</v>
      </c>
      <c r="G132" s="19" t="s">
        <v>47</v>
      </c>
      <c r="H132" s="20" t="s">
        <v>221</v>
      </c>
      <c r="I132" s="20" t="s">
        <v>222</v>
      </c>
      <c r="J132" s="21">
        <v>63000000</v>
      </c>
      <c r="K132" s="22">
        <v>45790</v>
      </c>
      <c r="L132" s="22">
        <v>46089</v>
      </c>
      <c r="M132" s="20" t="s">
        <v>49</v>
      </c>
      <c r="N132" s="23" t="s">
        <v>2043</v>
      </c>
      <c r="O132" s="23" t="str">
        <f>IFERROR(VLOOKUP($G132,'DB2'!$A:$B,2,0),"공동과책 확인")</f>
        <v>Son, Seungwoo</v>
      </c>
      <c r="P132" s="23" t="s">
        <v>1901</v>
      </c>
      <c r="Q132" s="23" t="s">
        <v>1902</v>
      </c>
      <c r="R132" s="23" t="str">
        <f>IFERROR(VLOOKUP($I132,'DB2'!$F$2:$I$50,2,0),"옛날 부서명 확인")</f>
        <v>Spatial Planning and Management Division</v>
      </c>
      <c r="S132" s="23" t="str">
        <f>IFERROR(VLOOKUP($I132,'DB2'!$F$2:$I$50,4,0),"옛날 부서명 확인")</f>
        <v xml:space="preserve">Land and Environment Research Group </v>
      </c>
    </row>
    <row r="133" spans="1:19" ht="22.5" hidden="1" customHeight="1">
      <c r="A133" s="19" t="s">
        <v>665</v>
      </c>
      <c r="B133" s="19" t="s">
        <v>22</v>
      </c>
      <c r="C133" s="19" t="s">
        <v>666</v>
      </c>
      <c r="D133" s="20" t="s">
        <v>667</v>
      </c>
      <c r="E133" s="20"/>
      <c r="F133" s="20" t="s">
        <v>103</v>
      </c>
      <c r="G133" s="19" t="s">
        <v>104</v>
      </c>
      <c r="H133" s="20" t="s">
        <v>352</v>
      </c>
      <c r="I133" s="20" t="s">
        <v>353</v>
      </c>
      <c r="J133" s="21">
        <v>85900000</v>
      </c>
      <c r="K133" s="22">
        <v>45790</v>
      </c>
      <c r="L133" s="22">
        <v>46154</v>
      </c>
      <c r="M133" s="20" t="s">
        <v>124</v>
      </c>
      <c r="N133" s="23" t="s">
        <v>2044</v>
      </c>
      <c r="O133" s="23" t="str">
        <f>IFERROR(VLOOKUP($G133,'DB2'!$A:$B,2,0),"공동과책 확인")</f>
        <v>Kang, Sungwon</v>
      </c>
      <c r="P133" s="23" t="s">
        <v>1910</v>
      </c>
      <c r="Q133" s="23" t="s">
        <v>1911</v>
      </c>
      <c r="R133" s="23" t="str">
        <f>IFERROR(VLOOKUP($I133,'DB2'!$F$2:$I$50,2,0),"옛날 부서명 확인")</f>
        <v xml:space="preserve">Green Economy Division </v>
      </c>
      <c r="S133" s="23" t="str">
        <f>IFERROR(VLOOKUP($I133,'DB2'!$F$2:$I$50,4,0),"옛날 부서명 확인")</f>
        <v xml:space="preserve">Climate and Atmospheric Strategy Research Group  </v>
      </c>
    </row>
    <row r="134" spans="1:19" ht="22.5" hidden="1" customHeight="1">
      <c r="A134" s="19" t="s">
        <v>668</v>
      </c>
      <c r="B134" s="19" t="s">
        <v>22</v>
      </c>
      <c r="C134" s="19" t="s">
        <v>669</v>
      </c>
      <c r="D134" s="20" t="s">
        <v>670</v>
      </c>
      <c r="E134" s="20"/>
      <c r="F134" s="20" t="s">
        <v>96</v>
      </c>
      <c r="G134" s="19" t="s">
        <v>97</v>
      </c>
      <c r="H134" s="20" t="s">
        <v>211</v>
      </c>
      <c r="I134" s="20" t="s">
        <v>212</v>
      </c>
      <c r="J134" s="21">
        <v>406090000</v>
      </c>
      <c r="K134" s="22">
        <v>45790</v>
      </c>
      <c r="L134" s="22">
        <v>46154</v>
      </c>
      <c r="M134" s="20" t="s">
        <v>49</v>
      </c>
      <c r="N134" s="23" t="s">
        <v>2045</v>
      </c>
      <c r="O134" s="23" t="str">
        <f>IFERROR(VLOOKUP($G134,'DB2'!$A:$B,2,0),"공동과책 확인")</f>
        <v>Kim, Ikjae</v>
      </c>
      <c r="P134" s="23" t="s">
        <v>1906</v>
      </c>
      <c r="Q134" s="23" t="s">
        <v>1912</v>
      </c>
      <c r="R134" s="23" t="str">
        <f>IFERROR(VLOOKUP($I134,'DB2'!$F$2:$I$50,2,0),"옛날 부서명 확인")</f>
        <v xml:space="preserve">Water Management Division </v>
      </c>
      <c r="S134" s="23" t="str">
        <f>IFERROR(VLOOKUP($I134,'DB2'!$F$2:$I$50,4,0),"옛날 부서명 확인")</f>
        <v xml:space="preserve">Land and Environment Research Group </v>
      </c>
    </row>
    <row r="135" spans="1:19" ht="22.5" hidden="1" customHeight="1">
      <c r="A135" s="19" t="s">
        <v>671</v>
      </c>
      <c r="B135" s="19" t="s">
        <v>22</v>
      </c>
      <c r="C135" s="19" t="s">
        <v>672</v>
      </c>
      <c r="D135" s="20" t="s">
        <v>673</v>
      </c>
      <c r="E135" s="20"/>
      <c r="F135" s="20" t="s">
        <v>103</v>
      </c>
      <c r="G135" s="19" t="s">
        <v>104</v>
      </c>
      <c r="H135" s="20" t="s">
        <v>352</v>
      </c>
      <c r="I135" s="20" t="s">
        <v>353</v>
      </c>
      <c r="J135" s="21">
        <v>90909090</v>
      </c>
      <c r="K135" s="22">
        <v>45748</v>
      </c>
      <c r="L135" s="22">
        <v>46022</v>
      </c>
      <c r="M135" s="20" t="s">
        <v>674</v>
      </c>
      <c r="N135" s="23" t="s">
        <v>2046</v>
      </c>
      <c r="O135" s="23" t="str">
        <f>IFERROR(VLOOKUP($G135,'DB2'!$A:$B,2,0),"공동과책 확인")</f>
        <v>Kang, Sungwon</v>
      </c>
      <c r="P135" s="23" t="s">
        <v>1903</v>
      </c>
      <c r="Q135" s="23" t="s">
        <v>1905</v>
      </c>
      <c r="R135" s="23" t="str">
        <f>IFERROR(VLOOKUP($I135,'DB2'!$F$2:$I$50,2,0),"옛날 부서명 확인")</f>
        <v xml:space="preserve">Green Economy Division </v>
      </c>
      <c r="S135" s="23" t="str">
        <f>IFERROR(VLOOKUP($I135,'DB2'!$F$2:$I$50,4,0),"옛날 부서명 확인")</f>
        <v xml:space="preserve">Climate and Atmospheric Strategy Research Group  </v>
      </c>
    </row>
    <row r="136" spans="1:19" ht="22.5" hidden="1" customHeight="1">
      <c r="A136" s="19" t="s">
        <v>675</v>
      </c>
      <c r="B136" s="19" t="s">
        <v>22</v>
      </c>
      <c r="C136" s="19" t="s">
        <v>676</v>
      </c>
      <c r="D136" s="20" t="s">
        <v>677</v>
      </c>
      <c r="E136" s="20"/>
      <c r="F136" s="20" t="s">
        <v>600</v>
      </c>
      <c r="G136" s="19" t="s">
        <v>601</v>
      </c>
      <c r="H136" s="20" t="s">
        <v>268</v>
      </c>
      <c r="I136" s="20" t="s">
        <v>269</v>
      </c>
      <c r="J136" s="21">
        <v>144000000</v>
      </c>
      <c r="K136" s="22">
        <v>45796</v>
      </c>
      <c r="L136" s="22">
        <v>46035</v>
      </c>
      <c r="M136" s="20" t="s">
        <v>49</v>
      </c>
      <c r="N136" s="23" t="s">
        <v>2047</v>
      </c>
      <c r="O136" s="23" t="str">
        <f>IFERROR(VLOOKUP($G136,'DB2'!$A:$B,2,0),"공동과책 확인")</f>
        <v>Jo, Ji Hye</v>
      </c>
      <c r="P136" s="23" t="s">
        <v>1900</v>
      </c>
      <c r="Q136" s="23"/>
      <c r="R136" s="23" t="str">
        <f>IFERROR(VLOOKUP($I136,'DB2'!$F$2:$I$50,2,0),"옛날 부서명 확인")</f>
        <v xml:space="preserve">Circular Economy Division </v>
      </c>
      <c r="S136" s="23" t="str">
        <f>IFERROR(VLOOKUP($I136,'DB2'!$F$2:$I$50,4,0),"옛날 부서명 확인")</f>
        <v xml:space="preserve">Sustainable Development Research Group  </v>
      </c>
    </row>
    <row r="137" spans="1:19" ht="22.5" hidden="1" customHeight="1">
      <c r="A137" s="19" t="s">
        <v>678</v>
      </c>
      <c r="B137" s="19" t="s">
        <v>22</v>
      </c>
      <c r="C137" s="19" t="s">
        <v>679</v>
      </c>
      <c r="D137" s="20" t="s">
        <v>680</v>
      </c>
      <c r="E137" s="20"/>
      <c r="F137" s="20" t="s">
        <v>46</v>
      </c>
      <c r="G137" s="19" t="s">
        <v>47</v>
      </c>
      <c r="H137" s="20" t="s">
        <v>221</v>
      </c>
      <c r="I137" s="20" t="s">
        <v>222</v>
      </c>
      <c r="J137" s="21">
        <v>142600000</v>
      </c>
      <c r="K137" s="22">
        <v>45793</v>
      </c>
      <c r="L137" s="22">
        <v>46157</v>
      </c>
      <c r="M137" s="20" t="s">
        <v>49</v>
      </c>
      <c r="N137" s="23" t="s">
        <v>2048</v>
      </c>
      <c r="O137" s="23" t="str">
        <f>IFERROR(VLOOKUP($G137,'DB2'!$A:$B,2,0),"공동과책 확인")</f>
        <v>Son, Seungwoo</v>
      </c>
      <c r="P137" s="23" t="s">
        <v>1901</v>
      </c>
      <c r="Q137" s="23" t="s">
        <v>1902</v>
      </c>
      <c r="R137" s="23" t="str">
        <f>IFERROR(VLOOKUP($I137,'DB2'!$F$2:$I$50,2,0),"옛날 부서명 확인")</f>
        <v>Spatial Planning and Management Division</v>
      </c>
      <c r="S137" s="23" t="str">
        <f>IFERROR(VLOOKUP($I137,'DB2'!$F$2:$I$50,4,0),"옛날 부서명 확인")</f>
        <v xml:space="preserve">Land and Environment Research Group </v>
      </c>
    </row>
    <row r="138" spans="1:19" ht="22.5" hidden="1" customHeight="1">
      <c r="A138" s="19" t="s">
        <v>681</v>
      </c>
      <c r="B138" s="19" t="s">
        <v>22</v>
      </c>
      <c r="C138" s="19" t="s">
        <v>682</v>
      </c>
      <c r="D138" s="20" t="s">
        <v>683</v>
      </c>
      <c r="E138" s="20"/>
      <c r="F138" s="20" t="s">
        <v>583</v>
      </c>
      <c r="G138" s="19" t="s">
        <v>584</v>
      </c>
      <c r="H138" s="20" t="s">
        <v>455</v>
      </c>
      <c r="I138" s="20" t="s">
        <v>131</v>
      </c>
      <c r="J138" s="21">
        <v>98900000</v>
      </c>
      <c r="K138" s="22">
        <v>45800</v>
      </c>
      <c r="L138" s="22">
        <v>46022</v>
      </c>
      <c r="M138" s="20" t="s">
        <v>49</v>
      </c>
      <c r="N138" s="23" t="s">
        <v>2049</v>
      </c>
      <c r="O138" s="23" t="str">
        <f>IFERROR(VLOOKUP($G138,'DB2'!$A:$B,2,0),"공동과책 확인")</f>
        <v xml:space="preserve">Moon, Jongwoo </v>
      </c>
      <c r="P138" s="23" t="s">
        <v>1913</v>
      </c>
      <c r="Q138" s="23" t="s">
        <v>1912</v>
      </c>
      <c r="R138" s="23" t="str">
        <f>IFERROR(VLOOKUP($I138,'DB2'!$F$2:$I$50,2,0),"옛날 부서명 확인")</f>
        <v xml:space="preserve">Carbon Neutrality Division </v>
      </c>
      <c r="S138" s="23" t="str">
        <f>IFERROR(VLOOKUP($I138,'DB2'!$F$2:$I$50,4,0),"옛날 부서명 확인")</f>
        <v xml:space="preserve">Climate and Atmospheric Strategy Research Group  </v>
      </c>
    </row>
    <row r="139" spans="1:19" ht="22.5" hidden="1" customHeight="1">
      <c r="A139" s="19" t="s">
        <v>684</v>
      </c>
      <c r="B139" s="19" t="s">
        <v>22</v>
      </c>
      <c r="C139" s="19" t="s">
        <v>685</v>
      </c>
      <c r="D139" s="20" t="s">
        <v>686</v>
      </c>
      <c r="E139" s="20"/>
      <c r="F139" s="20" t="s">
        <v>287</v>
      </c>
      <c r="G139" s="19" t="s">
        <v>288</v>
      </c>
      <c r="H139" s="20" t="s">
        <v>211</v>
      </c>
      <c r="I139" s="20" t="s">
        <v>212</v>
      </c>
      <c r="J139" s="21">
        <v>40000000</v>
      </c>
      <c r="K139" s="22">
        <v>45803</v>
      </c>
      <c r="L139" s="22">
        <v>45952</v>
      </c>
      <c r="M139" s="20" t="s">
        <v>687</v>
      </c>
      <c r="N139" s="23" t="s">
        <v>2050</v>
      </c>
      <c r="O139" s="23" t="str">
        <f>IFERROR(VLOOKUP($G139,'DB2'!$A:$B,2,0),"공동과책 확인")</f>
        <v>Jeon, Dongjin</v>
      </c>
      <c r="P139" s="23" t="s">
        <v>1906</v>
      </c>
      <c r="Q139" s="23" t="s">
        <v>1911</v>
      </c>
      <c r="R139" s="23" t="str">
        <f>IFERROR(VLOOKUP($I139,'DB2'!$F$2:$I$50,2,0),"옛날 부서명 확인")</f>
        <v xml:space="preserve">Water Management Division </v>
      </c>
      <c r="S139" s="23" t="str">
        <f>IFERROR(VLOOKUP($I139,'DB2'!$F$2:$I$50,4,0),"옛날 부서명 확인")</f>
        <v xml:space="preserve">Land and Environment Research Group </v>
      </c>
    </row>
    <row r="140" spans="1:19" ht="22.5" hidden="1" customHeight="1">
      <c r="A140" s="19" t="s">
        <v>688</v>
      </c>
      <c r="B140" s="19" t="s">
        <v>22</v>
      </c>
      <c r="C140" s="19" t="s">
        <v>689</v>
      </c>
      <c r="D140" s="20" t="s">
        <v>690</v>
      </c>
      <c r="E140" s="20"/>
      <c r="F140" s="20" t="s">
        <v>300</v>
      </c>
      <c r="G140" s="19" t="s">
        <v>301</v>
      </c>
      <c r="H140" s="20" t="s">
        <v>40</v>
      </c>
      <c r="I140" s="20" t="s">
        <v>41</v>
      </c>
      <c r="J140" s="21">
        <v>85363630</v>
      </c>
      <c r="K140" s="22">
        <v>45803</v>
      </c>
      <c r="L140" s="22">
        <v>45991</v>
      </c>
      <c r="M140" s="20" t="s">
        <v>691</v>
      </c>
      <c r="N140" s="23" t="s">
        <v>2051</v>
      </c>
      <c r="O140" s="23" t="str">
        <f>IFERROR(VLOOKUP($G140,'DB2'!$A:$B,2,0),"공동과책 확인")</f>
        <v>Chung, Woo Hyun</v>
      </c>
      <c r="P140" s="23" t="s">
        <v>1910</v>
      </c>
      <c r="Q140" s="23" t="s">
        <v>1911</v>
      </c>
      <c r="R140" s="23" t="str">
        <f>IFERROR(VLOOKUP($I140,'DB2'!$F$2:$I$50,2,0),"옛날 부서명 확인")</f>
        <v xml:space="preserve">Living Environment and Society Division </v>
      </c>
      <c r="S140" s="23" t="str">
        <f>IFERROR(VLOOKUP($I140,'DB2'!$F$2:$I$50,4,0),"옛날 부서명 확인")</f>
        <v xml:space="preserve">Sustainable Development Research Group  </v>
      </c>
    </row>
    <row r="141" spans="1:19" ht="22.5" hidden="1" customHeight="1">
      <c r="A141" s="19" t="s">
        <v>692</v>
      </c>
      <c r="B141" s="19" t="s">
        <v>22</v>
      </c>
      <c r="C141" s="19" t="s">
        <v>693</v>
      </c>
      <c r="D141" s="20" t="s">
        <v>694</v>
      </c>
      <c r="E141" s="20"/>
      <c r="F141" s="20" t="s">
        <v>335</v>
      </c>
      <c r="G141" s="19" t="s">
        <v>336</v>
      </c>
      <c r="H141" s="20" t="s">
        <v>211</v>
      </c>
      <c r="I141" s="20" t="s">
        <v>212</v>
      </c>
      <c r="J141" s="21">
        <v>50000000</v>
      </c>
      <c r="K141" s="22">
        <v>45806</v>
      </c>
      <c r="L141" s="22">
        <v>45960</v>
      </c>
      <c r="M141" s="20" t="s">
        <v>687</v>
      </c>
      <c r="N141" s="23" t="s">
        <v>2052</v>
      </c>
      <c r="O141" s="23" t="str">
        <f>IFERROR(VLOOKUP($G141,'DB2'!$A:$B,2,0),"공동과책 확인")</f>
        <v xml:space="preserve">Lee, Seungsoo </v>
      </c>
      <c r="P141" s="23" t="s">
        <v>1910</v>
      </c>
      <c r="Q141" s="23"/>
      <c r="R141" s="23" t="str">
        <f>IFERROR(VLOOKUP($I141,'DB2'!$F$2:$I$50,2,0),"옛날 부서명 확인")</f>
        <v xml:space="preserve">Water Management Division </v>
      </c>
      <c r="S141" s="23" t="str">
        <f>IFERROR(VLOOKUP($I141,'DB2'!$F$2:$I$50,4,0),"옛날 부서명 확인")</f>
        <v xml:space="preserve">Land and Environment Research Group </v>
      </c>
    </row>
    <row r="142" spans="1:19" ht="22.5" hidden="1" customHeight="1">
      <c r="A142" s="19" t="s">
        <v>695</v>
      </c>
      <c r="B142" s="19" t="s">
        <v>22</v>
      </c>
      <c r="C142" s="19" t="s">
        <v>696</v>
      </c>
      <c r="D142" s="20" t="s">
        <v>697</v>
      </c>
      <c r="E142" s="20"/>
      <c r="F142" s="20" t="s">
        <v>698</v>
      </c>
      <c r="G142" s="19" t="s">
        <v>699</v>
      </c>
      <c r="H142" s="20" t="s">
        <v>211</v>
      </c>
      <c r="I142" s="20" t="s">
        <v>212</v>
      </c>
      <c r="J142" s="21">
        <v>98600000</v>
      </c>
      <c r="K142" s="22">
        <v>45820</v>
      </c>
      <c r="L142" s="22">
        <v>46184</v>
      </c>
      <c r="M142" s="20" t="s">
        <v>49</v>
      </c>
      <c r="N142" s="23" t="s">
        <v>2053</v>
      </c>
      <c r="O142" s="23" t="str">
        <f>IFERROR(VLOOKUP($G142,'DB2'!$A:$B,2,0),"공동과책 확인")</f>
        <v>Hyun, Yunjung</v>
      </c>
      <c r="P142" s="23" t="s">
        <v>1901</v>
      </c>
      <c r="Q142" s="23" t="s">
        <v>1906</v>
      </c>
      <c r="R142" s="23" t="str">
        <f>IFERROR(VLOOKUP($I142,'DB2'!$F$2:$I$50,2,0),"옛날 부서명 확인")</f>
        <v xml:space="preserve">Water Management Division </v>
      </c>
      <c r="S142" s="23" t="str">
        <f>IFERROR(VLOOKUP($I142,'DB2'!$F$2:$I$50,4,0),"옛날 부서명 확인")</f>
        <v xml:space="preserve">Land and Environment Research Group </v>
      </c>
    </row>
    <row r="143" spans="1:19" ht="22.5" hidden="1" customHeight="1">
      <c r="A143" s="19" t="s">
        <v>700</v>
      </c>
      <c r="B143" s="19" t="s">
        <v>22</v>
      </c>
      <c r="C143" s="19" t="s">
        <v>701</v>
      </c>
      <c r="D143" s="20" t="s">
        <v>702</v>
      </c>
      <c r="E143" s="20"/>
      <c r="F143" s="20" t="s">
        <v>541</v>
      </c>
      <c r="G143" s="19" t="s">
        <v>542</v>
      </c>
      <c r="H143" s="20" t="s">
        <v>33</v>
      </c>
      <c r="I143" s="20" t="s">
        <v>28</v>
      </c>
      <c r="J143" s="21">
        <v>80000000</v>
      </c>
      <c r="K143" s="22">
        <v>45821</v>
      </c>
      <c r="L143" s="22">
        <v>46064</v>
      </c>
      <c r="M143" s="20" t="s">
        <v>703</v>
      </c>
      <c r="N143" s="23" t="s">
        <v>2054</v>
      </c>
      <c r="O143" s="23" t="str">
        <f>IFERROR(VLOOKUP($G143,'DB2'!$A:$B,2,0),"공동과책 확인")</f>
        <v>Lee, Who-Seung</v>
      </c>
      <c r="P143" s="23" t="s">
        <v>1902</v>
      </c>
      <c r="Q143" s="23" t="s">
        <v>1910</v>
      </c>
      <c r="R143" s="23" t="str">
        <f>IFERROR(VLOOKUP($I143,'DB2'!$F$2:$I$50,2,0),"옛날 부서명 확인")</f>
        <v xml:space="preserve">Natural Environment Division </v>
      </c>
      <c r="S143" s="23" t="str">
        <f>IFERROR(VLOOKUP($I143,'DB2'!$F$2:$I$50,4,0),"옛날 부서명 확인")</f>
        <v xml:space="preserve">Land and Environment Research Group </v>
      </c>
    </row>
    <row r="144" spans="1:19" ht="22.5" hidden="1" customHeight="1">
      <c r="A144" s="19" t="s">
        <v>704</v>
      </c>
      <c r="B144" s="19" t="s">
        <v>22</v>
      </c>
      <c r="C144" s="19" t="s">
        <v>705</v>
      </c>
      <c r="D144" s="20" t="s">
        <v>706</v>
      </c>
      <c r="E144" s="20"/>
      <c r="F144" s="20" t="s">
        <v>335</v>
      </c>
      <c r="G144" s="19" t="s">
        <v>336</v>
      </c>
      <c r="H144" s="20" t="s">
        <v>211</v>
      </c>
      <c r="I144" s="20" t="s">
        <v>212</v>
      </c>
      <c r="J144" s="21">
        <v>130000000</v>
      </c>
      <c r="K144" s="22">
        <v>45809</v>
      </c>
      <c r="L144" s="22">
        <v>46022</v>
      </c>
      <c r="M144" s="20" t="s">
        <v>707</v>
      </c>
      <c r="N144" s="23" t="s">
        <v>2055</v>
      </c>
      <c r="O144" s="23" t="str">
        <f>IFERROR(VLOOKUP($G144,'DB2'!$A:$B,2,0),"공동과책 확인")</f>
        <v xml:space="preserve">Lee, Seungsoo </v>
      </c>
      <c r="P144" s="23" t="s">
        <v>1906</v>
      </c>
      <c r="Q144" s="23"/>
      <c r="R144" s="23" t="str">
        <f>IFERROR(VLOOKUP($I144,'DB2'!$F$2:$I$50,2,0),"옛날 부서명 확인")</f>
        <v xml:space="preserve">Water Management Division </v>
      </c>
      <c r="S144" s="23" t="str">
        <f>IFERROR(VLOOKUP($I144,'DB2'!$F$2:$I$50,4,0),"옛날 부서명 확인")</f>
        <v xml:space="preserve">Land and Environment Research Group </v>
      </c>
    </row>
    <row r="145" spans="1:19" ht="22.5" hidden="1" customHeight="1">
      <c r="A145" s="19" t="s">
        <v>708</v>
      </c>
      <c r="B145" s="19" t="s">
        <v>22</v>
      </c>
      <c r="C145" s="19" t="s">
        <v>709</v>
      </c>
      <c r="D145" s="20" t="s">
        <v>710</v>
      </c>
      <c r="E145" s="20"/>
      <c r="F145" s="20" t="s">
        <v>287</v>
      </c>
      <c r="G145" s="19" t="s">
        <v>288</v>
      </c>
      <c r="H145" s="20" t="s">
        <v>211</v>
      </c>
      <c r="I145" s="20" t="s">
        <v>212</v>
      </c>
      <c r="J145" s="21">
        <v>91318180</v>
      </c>
      <c r="K145" s="22">
        <v>45831</v>
      </c>
      <c r="L145" s="22">
        <v>46071</v>
      </c>
      <c r="M145" s="20" t="s">
        <v>138</v>
      </c>
      <c r="N145" s="23" t="s">
        <v>2056</v>
      </c>
      <c r="O145" s="23" t="str">
        <f>IFERROR(VLOOKUP($G145,'DB2'!$A:$B,2,0),"공동과책 확인")</f>
        <v>Jeon, Dongjin</v>
      </c>
      <c r="P145" s="23" t="s">
        <v>1906</v>
      </c>
      <c r="Q145" s="23"/>
      <c r="R145" s="23" t="str">
        <f>IFERROR(VLOOKUP($I145,'DB2'!$F$2:$I$50,2,0),"옛날 부서명 확인")</f>
        <v xml:space="preserve">Water Management Division </v>
      </c>
      <c r="S145" s="23" t="str">
        <f>IFERROR(VLOOKUP($I145,'DB2'!$F$2:$I$50,4,0),"옛날 부서명 확인")</f>
        <v xml:space="preserve">Land and Environment Research Group </v>
      </c>
    </row>
    <row r="146" spans="1:19" ht="22.5" hidden="1" customHeight="1">
      <c r="A146" s="19" t="s">
        <v>711</v>
      </c>
      <c r="B146" s="19" t="s">
        <v>22</v>
      </c>
      <c r="C146" s="19" t="s">
        <v>712</v>
      </c>
      <c r="D146" s="20" t="s">
        <v>713</v>
      </c>
      <c r="E146" s="20"/>
      <c r="F146" s="20" t="s">
        <v>714</v>
      </c>
      <c r="G146" s="19" t="s">
        <v>715</v>
      </c>
      <c r="H146" s="20" t="s">
        <v>268</v>
      </c>
      <c r="I146" s="20" t="s">
        <v>269</v>
      </c>
      <c r="J146" s="21">
        <v>49500000</v>
      </c>
      <c r="K146" s="22">
        <v>45835</v>
      </c>
      <c r="L146" s="22">
        <v>46074</v>
      </c>
      <c r="M146" s="20" t="s">
        <v>716</v>
      </c>
      <c r="N146" s="23" t="s">
        <v>2057</v>
      </c>
      <c r="O146" s="23" t="str">
        <f>IFERROR(VLOOKUP($G146,'DB2'!$A:$B,2,0),"공동과책 확인")</f>
        <v xml:space="preserve">Ju, Munsol </v>
      </c>
      <c r="P146" s="23" t="s">
        <v>1900</v>
      </c>
      <c r="Q146" s="23"/>
      <c r="R146" s="23" t="str">
        <f>IFERROR(VLOOKUP($I146,'DB2'!$F$2:$I$50,2,0),"옛날 부서명 확인")</f>
        <v xml:space="preserve">Circular Economy Division </v>
      </c>
      <c r="S146" s="23" t="str">
        <f>IFERROR(VLOOKUP($I146,'DB2'!$F$2:$I$50,4,0),"옛날 부서명 확인")</f>
        <v xml:space="preserve">Sustainable Development Research Group  </v>
      </c>
    </row>
    <row r="147" spans="1:19" ht="22.5" hidden="1" customHeight="1">
      <c r="A147" s="19" t="s">
        <v>717</v>
      </c>
      <c r="B147" s="19" t="s">
        <v>22</v>
      </c>
      <c r="C147" s="19" t="s">
        <v>718</v>
      </c>
      <c r="D147" s="20" t="s">
        <v>719</v>
      </c>
      <c r="E147" s="20"/>
      <c r="F147" s="20" t="s">
        <v>136</v>
      </c>
      <c r="G147" s="19" t="s">
        <v>137</v>
      </c>
      <c r="H147" s="20" t="s">
        <v>211</v>
      </c>
      <c r="I147" s="20" t="s">
        <v>212</v>
      </c>
      <c r="J147" s="21">
        <v>49700000</v>
      </c>
      <c r="K147" s="22">
        <v>45835</v>
      </c>
      <c r="L147" s="22">
        <v>46022</v>
      </c>
      <c r="M147" s="20" t="s">
        <v>49</v>
      </c>
      <c r="N147" s="23" t="s">
        <v>2058</v>
      </c>
      <c r="O147" s="23" t="str">
        <f>IFERROR(VLOOKUP($G147,'DB2'!$A:$B,2,0),"공동과책 확인")</f>
        <v>Han, Daeho</v>
      </c>
      <c r="P147" s="23" t="s">
        <v>1906</v>
      </c>
      <c r="Q147" s="23"/>
      <c r="R147" s="23" t="str">
        <f>IFERROR(VLOOKUP($I147,'DB2'!$F$2:$I$50,2,0),"옛날 부서명 확인")</f>
        <v xml:space="preserve">Water Management Division </v>
      </c>
      <c r="S147" s="23" t="str">
        <f>IFERROR(VLOOKUP($I147,'DB2'!$F$2:$I$50,4,0),"옛날 부서명 확인")</f>
        <v xml:space="preserve">Land and Environment Research Group </v>
      </c>
    </row>
    <row r="148" spans="1:19" ht="22.5" hidden="1" customHeight="1">
      <c r="A148" s="19" t="s">
        <v>720</v>
      </c>
      <c r="B148" s="19" t="s">
        <v>22</v>
      </c>
      <c r="C148" s="19" t="s">
        <v>721</v>
      </c>
      <c r="D148" s="20" t="s">
        <v>722</v>
      </c>
      <c r="E148" s="20"/>
      <c r="F148" s="20" t="s">
        <v>46</v>
      </c>
      <c r="G148" s="19" t="s">
        <v>47</v>
      </c>
      <c r="H148" s="20" t="s">
        <v>221</v>
      </c>
      <c r="I148" s="20" t="s">
        <v>222</v>
      </c>
      <c r="J148" s="21">
        <v>67545450</v>
      </c>
      <c r="K148" s="22">
        <v>45838</v>
      </c>
      <c r="L148" s="22">
        <v>46148</v>
      </c>
      <c r="M148" s="20" t="s">
        <v>723</v>
      </c>
      <c r="N148" s="23" t="s">
        <v>2059</v>
      </c>
      <c r="O148" s="23" t="str">
        <f>IFERROR(VLOOKUP($G148,'DB2'!$A:$B,2,0),"공동과책 확인")</f>
        <v>Son, Seungwoo</v>
      </c>
      <c r="P148" s="23" t="s">
        <v>1902</v>
      </c>
      <c r="Q148" s="23" t="s">
        <v>1911</v>
      </c>
      <c r="R148" s="23" t="str">
        <f>IFERROR(VLOOKUP($I148,'DB2'!$F$2:$I$50,2,0),"옛날 부서명 확인")</f>
        <v>Spatial Planning and Management Division</v>
      </c>
      <c r="S148" s="23" t="str">
        <f>IFERROR(VLOOKUP($I148,'DB2'!$F$2:$I$50,4,0),"옛날 부서명 확인")</f>
        <v xml:space="preserve">Land and Environment Research Group </v>
      </c>
    </row>
    <row r="149" spans="1:19" ht="22.5" hidden="1" customHeight="1">
      <c r="A149" s="19" t="s">
        <v>724</v>
      </c>
      <c r="B149" s="19" t="s">
        <v>22</v>
      </c>
      <c r="C149" s="19" t="s">
        <v>725</v>
      </c>
      <c r="D149" s="20" t="s">
        <v>726</v>
      </c>
      <c r="E149" s="20"/>
      <c r="F149" s="20" t="s">
        <v>727</v>
      </c>
      <c r="G149" s="19" t="s">
        <v>728</v>
      </c>
      <c r="H149" s="20" t="s">
        <v>352</v>
      </c>
      <c r="I149" s="20" t="s">
        <v>353</v>
      </c>
      <c r="J149" s="21">
        <v>15000000</v>
      </c>
      <c r="K149" s="22">
        <v>45825</v>
      </c>
      <c r="L149" s="22">
        <v>45981</v>
      </c>
      <c r="M149" s="20" t="s">
        <v>729</v>
      </c>
      <c r="N149" s="23" t="s">
        <v>2060</v>
      </c>
      <c r="O149" s="23" t="str">
        <f>IFERROR(VLOOKUP($G149,'DB2'!$A:$B,2,0),"공동과책 확인")</f>
        <v>Kang, Taek Goo</v>
      </c>
      <c r="P149" s="23" t="s">
        <v>1913</v>
      </c>
      <c r="Q149" s="23" t="s">
        <v>1912</v>
      </c>
      <c r="R149" s="23" t="str">
        <f>IFERROR(VLOOKUP($I149,'DB2'!$F$2:$I$50,2,0),"옛날 부서명 확인")</f>
        <v xml:space="preserve">Green Economy Division </v>
      </c>
      <c r="S149" s="23" t="str">
        <f>IFERROR(VLOOKUP($I149,'DB2'!$F$2:$I$50,4,0),"옛날 부서명 확인")</f>
        <v xml:space="preserve">Climate and Atmospheric Strategy Research Group  </v>
      </c>
    </row>
    <row r="150" spans="1:19" ht="22.5" hidden="1" customHeight="1">
      <c r="A150" s="19" t="s">
        <v>730</v>
      </c>
      <c r="B150" s="19" t="s">
        <v>22</v>
      </c>
      <c r="C150" s="19" t="s">
        <v>731</v>
      </c>
      <c r="D150" s="20" t="s">
        <v>732</v>
      </c>
      <c r="E150" s="20"/>
      <c r="F150" s="20" t="s">
        <v>161</v>
      </c>
      <c r="G150" s="19" t="s">
        <v>162</v>
      </c>
      <c r="H150" s="20" t="s">
        <v>455</v>
      </c>
      <c r="I150" s="20" t="s">
        <v>131</v>
      </c>
      <c r="J150" s="21">
        <v>69000000</v>
      </c>
      <c r="K150" s="22">
        <v>45841</v>
      </c>
      <c r="L150" s="22">
        <v>46020</v>
      </c>
      <c r="M150" s="20" t="s">
        <v>531</v>
      </c>
      <c r="N150" s="23" t="s">
        <v>2061</v>
      </c>
      <c r="O150" s="23" t="str">
        <f>IFERROR(VLOOKUP($G150,'DB2'!$A:$B,2,0),"공동과책 확인")</f>
        <v>Lee, Jeongeun</v>
      </c>
      <c r="P150" s="23" t="s">
        <v>1913</v>
      </c>
      <c r="Q150" s="23" t="s">
        <v>1910</v>
      </c>
      <c r="R150" s="23" t="str">
        <f>IFERROR(VLOOKUP($I150,'DB2'!$F$2:$I$50,2,0),"옛날 부서명 확인")</f>
        <v xml:space="preserve">Carbon Neutrality Division </v>
      </c>
      <c r="S150" s="23" t="str">
        <f>IFERROR(VLOOKUP($I150,'DB2'!$F$2:$I$50,4,0),"옛날 부서명 확인")</f>
        <v xml:space="preserve">Climate and Atmospheric Strategy Research Group  </v>
      </c>
    </row>
    <row r="151" spans="1:19" ht="22.5" hidden="1" customHeight="1">
      <c r="A151" s="19" t="s">
        <v>733</v>
      </c>
      <c r="B151" s="19" t="s">
        <v>22</v>
      </c>
      <c r="C151" s="19" t="s">
        <v>734</v>
      </c>
      <c r="D151" s="20" t="s">
        <v>735</v>
      </c>
      <c r="E151" s="20"/>
      <c r="F151" s="20" t="s">
        <v>153</v>
      </c>
      <c r="G151" s="19" t="s">
        <v>154</v>
      </c>
      <c r="H151" s="20" t="s">
        <v>559</v>
      </c>
      <c r="I151" s="20" t="s">
        <v>560</v>
      </c>
      <c r="J151" s="21">
        <v>176557080</v>
      </c>
      <c r="K151" s="22">
        <v>45846</v>
      </c>
      <c r="L151" s="22">
        <v>46145</v>
      </c>
      <c r="M151" s="20" t="s">
        <v>157</v>
      </c>
      <c r="N151" s="23" t="s">
        <v>2062</v>
      </c>
      <c r="O151" s="23" t="str">
        <f>IFERROR(VLOOKUP($G151,'DB2'!$A:$B,2,0),"공동과책 확인")</f>
        <v>Suh, Yang-won</v>
      </c>
      <c r="P151" s="23" t="s">
        <v>1910</v>
      </c>
      <c r="Q151" s="23" t="s">
        <v>1908</v>
      </c>
      <c r="R151" s="23" t="str">
        <f>IFERROR(VLOOKUP($I151,'DB2'!$F$2:$I$50,2,0),"옛날 부서명 확인")</f>
        <v xml:space="preserve">Sustainable Development Research Group  </v>
      </c>
      <c r="S151" s="23" t="str">
        <f>IFERROR(VLOOKUP($I151,'DB2'!$F$2:$I$50,4,0),"옛날 부서명 확인")</f>
        <v xml:space="preserve">Sustainable Development Research Group  </v>
      </c>
    </row>
    <row r="152" spans="1:19" ht="22.5" hidden="1" customHeight="1">
      <c r="A152" s="19" t="s">
        <v>736</v>
      </c>
      <c r="B152" s="19" t="s">
        <v>22</v>
      </c>
      <c r="C152" s="19" t="s">
        <v>737</v>
      </c>
      <c r="D152" s="20" t="s">
        <v>738</v>
      </c>
      <c r="E152" s="20"/>
      <c r="F152" s="20" t="s">
        <v>369</v>
      </c>
      <c r="G152" s="19" t="s">
        <v>370</v>
      </c>
      <c r="H152" s="20" t="s">
        <v>33</v>
      </c>
      <c r="I152" s="20" t="s">
        <v>28</v>
      </c>
      <c r="J152" s="21">
        <v>50000000</v>
      </c>
      <c r="K152" s="22">
        <v>45845</v>
      </c>
      <c r="L152" s="22">
        <v>46017</v>
      </c>
      <c r="M152" s="20" t="s">
        <v>739</v>
      </c>
      <c r="N152" s="23" t="s">
        <v>2063</v>
      </c>
      <c r="O152" s="23" t="str">
        <f>IFERROR(VLOOKUP($G152,'DB2'!$A:$B,2,0),"공동과책 확인")</f>
        <v>Kim, Choong-ki</v>
      </c>
      <c r="P152" s="23" t="s">
        <v>1909</v>
      </c>
      <c r="Q152" s="23" t="s">
        <v>1900</v>
      </c>
      <c r="R152" s="23" t="str">
        <f>IFERROR(VLOOKUP($I152,'DB2'!$F$2:$I$50,2,0),"옛날 부서명 확인")</f>
        <v xml:space="preserve">Natural Environment Division </v>
      </c>
      <c r="S152" s="23" t="str">
        <f>IFERROR(VLOOKUP($I152,'DB2'!$F$2:$I$50,4,0),"옛날 부서명 확인")</f>
        <v xml:space="preserve">Land and Environment Research Group </v>
      </c>
    </row>
    <row r="153" spans="1:19" ht="22.5" hidden="1" customHeight="1">
      <c r="A153" s="19" t="s">
        <v>740</v>
      </c>
      <c r="B153" s="19" t="s">
        <v>22</v>
      </c>
      <c r="C153" s="19" t="s">
        <v>741</v>
      </c>
      <c r="D153" s="20" t="s">
        <v>742</v>
      </c>
      <c r="E153" s="20"/>
      <c r="F153" s="20" t="s">
        <v>122</v>
      </c>
      <c r="G153" s="19" t="s">
        <v>123</v>
      </c>
      <c r="H153" s="20" t="s">
        <v>268</v>
      </c>
      <c r="I153" s="20" t="s">
        <v>269</v>
      </c>
      <c r="J153" s="21">
        <v>130990000</v>
      </c>
      <c r="K153" s="22">
        <v>45848</v>
      </c>
      <c r="L153" s="22">
        <v>46147</v>
      </c>
      <c r="M153" s="20" t="s">
        <v>124</v>
      </c>
      <c r="N153" s="23" t="s">
        <v>2064</v>
      </c>
      <c r="O153" s="23" t="str">
        <f>IFERROR(VLOOKUP($G153,'DB2'!$A:$B,2,0),"공동과책 확인")</f>
        <v>Kim, Jongho</v>
      </c>
      <c r="P153" s="23" t="s">
        <v>1910</v>
      </c>
      <c r="Q153" s="23" t="s">
        <v>1904</v>
      </c>
      <c r="R153" s="23" t="str">
        <f>IFERROR(VLOOKUP($I153,'DB2'!$F$2:$I$50,2,0),"옛날 부서명 확인")</f>
        <v xml:space="preserve">Circular Economy Division </v>
      </c>
      <c r="S153" s="23" t="str">
        <f>IFERROR(VLOOKUP($I153,'DB2'!$F$2:$I$50,4,0),"옛날 부서명 확인")</f>
        <v xml:space="preserve">Sustainable Development Research Group  </v>
      </c>
    </row>
    <row r="154" spans="1:19" ht="22.5" hidden="1" customHeight="1">
      <c r="A154" s="19" t="s">
        <v>743</v>
      </c>
      <c r="B154" s="19" t="s">
        <v>22</v>
      </c>
      <c r="C154" s="19" t="s">
        <v>744</v>
      </c>
      <c r="D154" s="20" t="s">
        <v>745</v>
      </c>
      <c r="E154" s="20"/>
      <c r="F154" s="20" t="s">
        <v>53</v>
      </c>
      <c r="G154" s="19" t="s">
        <v>54</v>
      </c>
      <c r="H154" s="20" t="s">
        <v>33</v>
      </c>
      <c r="I154" s="20" t="s">
        <v>28</v>
      </c>
      <c r="J154" s="21">
        <v>72000000</v>
      </c>
      <c r="K154" s="22">
        <v>45852</v>
      </c>
      <c r="L154" s="22">
        <v>46091</v>
      </c>
      <c r="M154" s="20" t="s">
        <v>179</v>
      </c>
      <c r="N154" s="23" t="s">
        <v>2065</v>
      </c>
      <c r="O154" s="23" t="str">
        <f>IFERROR(VLOOKUP($G154,'DB2'!$A:$B,2,0),"공동과책 확인")</f>
        <v xml:space="preserve">Koo, Kyung Ah </v>
      </c>
      <c r="P154" s="23" t="s">
        <v>1902</v>
      </c>
      <c r="Q154" s="23" t="s">
        <v>1912</v>
      </c>
      <c r="R154" s="23" t="str">
        <f>IFERROR(VLOOKUP($I154,'DB2'!$F$2:$I$50,2,0),"옛날 부서명 확인")</f>
        <v xml:space="preserve">Natural Environment Division </v>
      </c>
      <c r="S154" s="23" t="str">
        <f>IFERROR(VLOOKUP($I154,'DB2'!$F$2:$I$50,4,0),"옛날 부서명 확인")</f>
        <v xml:space="preserve">Land and Environment Research Group </v>
      </c>
    </row>
    <row r="155" spans="1:19" ht="22.5" hidden="1" customHeight="1">
      <c r="A155" s="19" t="s">
        <v>746</v>
      </c>
      <c r="B155" s="19" t="s">
        <v>22</v>
      </c>
      <c r="C155" s="19" t="s">
        <v>747</v>
      </c>
      <c r="D155" s="20" t="s">
        <v>748</v>
      </c>
      <c r="E155" s="20"/>
      <c r="F155" s="20" t="s">
        <v>238</v>
      </c>
      <c r="G155" s="19" t="s">
        <v>239</v>
      </c>
      <c r="H155" s="20" t="s">
        <v>257</v>
      </c>
      <c r="I155" s="20" t="s">
        <v>156</v>
      </c>
      <c r="J155" s="21">
        <v>49500000</v>
      </c>
      <c r="K155" s="22">
        <v>45856</v>
      </c>
      <c r="L155" s="22">
        <v>46125</v>
      </c>
      <c r="M155" s="20" t="s">
        <v>49</v>
      </c>
      <c r="N155" s="23" t="s">
        <v>2066</v>
      </c>
      <c r="O155" s="23" t="str">
        <f>IFERROR(VLOOKUP($G155,'DB2'!$A:$B,2,0),"공동과책 확인")</f>
        <v xml:space="preserve">Jung, Dawoon </v>
      </c>
      <c r="P155" s="23" t="s">
        <v>1903</v>
      </c>
      <c r="Q155" s="23" t="s">
        <v>1905</v>
      </c>
      <c r="R155" s="23" t="str">
        <f>IFERROR(VLOOKUP($I155,'DB2'!$F$2:$I$50,2,0),"옛날 부서명 확인")</f>
        <v xml:space="preserve">Environmental Health Division </v>
      </c>
      <c r="S155" s="23" t="str">
        <f>IFERROR(VLOOKUP($I155,'DB2'!$F$2:$I$50,4,0),"옛날 부서명 확인")</f>
        <v xml:space="preserve">Sustainable Development Research Group  </v>
      </c>
    </row>
    <row r="156" spans="1:19" ht="22.5" hidden="1" customHeight="1">
      <c r="A156" s="19" t="s">
        <v>749</v>
      </c>
      <c r="B156" s="19" t="s">
        <v>22</v>
      </c>
      <c r="C156" s="19" t="s">
        <v>750</v>
      </c>
      <c r="D156" s="20" t="s">
        <v>751</v>
      </c>
      <c r="E156" s="20"/>
      <c r="F156" s="20" t="s">
        <v>201</v>
      </c>
      <c r="G156" s="19" t="s">
        <v>202</v>
      </c>
      <c r="H156" s="20" t="s">
        <v>364</v>
      </c>
      <c r="I156" s="20" t="s">
        <v>204</v>
      </c>
      <c r="J156" s="21">
        <v>58800000</v>
      </c>
      <c r="K156" s="22">
        <v>45863</v>
      </c>
      <c r="L156" s="22">
        <v>46105</v>
      </c>
      <c r="M156" s="20" t="s">
        <v>752</v>
      </c>
      <c r="N156" s="23" t="s">
        <v>2067</v>
      </c>
      <c r="O156" s="23" t="str">
        <f>IFERROR(VLOOKUP($G156,'DB2'!$A:$B,2,0),"공동과책 확인")</f>
        <v>Gong, Sungyong</v>
      </c>
      <c r="P156" s="23" t="s">
        <v>1905</v>
      </c>
      <c r="Q156" s="23" t="s">
        <v>1903</v>
      </c>
      <c r="R156" s="23" t="str">
        <f>IFERROR(VLOOKUP($I156,'DB2'!$F$2:$I$50,2,0),"옛날 부서명 확인")</f>
        <v>Atmospheric Environment Division</v>
      </c>
      <c r="S156" s="23" t="str">
        <f>IFERROR(VLOOKUP($I156,'DB2'!$F$2:$I$50,4,0),"옛날 부서명 확인")</f>
        <v xml:space="preserve">Climate and Atmospheric Strategy Research Group  </v>
      </c>
    </row>
    <row r="157" spans="1:19" ht="22.5" customHeight="1">
      <c r="A157" s="26" t="s">
        <v>756</v>
      </c>
      <c r="B157" s="26" t="s">
        <v>22</v>
      </c>
      <c r="C157" s="26" t="s">
        <v>757</v>
      </c>
      <c r="D157" s="27" t="s">
        <v>758</v>
      </c>
      <c r="E157" s="20"/>
      <c r="F157" s="20" t="s">
        <v>759</v>
      </c>
      <c r="G157" s="26" t="s">
        <v>760</v>
      </c>
      <c r="H157" s="20" t="s">
        <v>33</v>
      </c>
      <c r="I157" s="27" t="s">
        <v>28</v>
      </c>
      <c r="J157" s="28">
        <v>87272720</v>
      </c>
      <c r="K157" s="29">
        <v>45873</v>
      </c>
      <c r="L157" s="29">
        <v>46172</v>
      </c>
      <c r="M157" s="20" t="s">
        <v>179</v>
      </c>
      <c r="N157" s="30" t="s">
        <v>2068</v>
      </c>
      <c r="O157" s="30" t="str">
        <f>IFERROR(VLOOKUP($G157,'DB2'!$A:$B,2,0),"공동과책 확인")</f>
        <v>Kim, Yoonjung</v>
      </c>
      <c r="P157" s="30" t="s">
        <v>1908</v>
      </c>
      <c r="Q157" s="30" t="s">
        <v>1902</v>
      </c>
      <c r="R157" s="30" t="str">
        <f>IFERROR(VLOOKUP($I157,'DB2'!$F$2:$I$50,2,0),"옛날 부서명 확인")</f>
        <v xml:space="preserve">Natural Environment Division </v>
      </c>
      <c r="S157" s="30" t="str">
        <f>IFERROR(VLOOKUP($I157,'DB2'!$F$2:$I$50,4,0),"옛날 부서명 확인")</f>
        <v xml:space="preserve">Land and Environment Research Group </v>
      </c>
    </row>
    <row r="158" spans="1:19" ht="22.5" customHeight="1">
      <c r="A158" s="26" t="s">
        <v>761</v>
      </c>
      <c r="B158" s="26" t="s">
        <v>22</v>
      </c>
      <c r="C158" s="26" t="s">
        <v>762</v>
      </c>
      <c r="D158" s="27" t="s">
        <v>763</v>
      </c>
      <c r="E158" s="20"/>
      <c r="F158" s="20" t="s">
        <v>698</v>
      </c>
      <c r="G158" s="26" t="s">
        <v>699</v>
      </c>
      <c r="H158" s="20" t="s">
        <v>211</v>
      </c>
      <c r="I158" s="27" t="s">
        <v>212</v>
      </c>
      <c r="J158" s="28">
        <v>135400000</v>
      </c>
      <c r="K158" s="29">
        <v>45877</v>
      </c>
      <c r="L158" s="29">
        <v>46241</v>
      </c>
      <c r="M158" s="20" t="s">
        <v>764</v>
      </c>
      <c r="N158" s="30" t="s">
        <v>2069</v>
      </c>
      <c r="O158" s="30" t="str">
        <f>IFERROR(VLOOKUP($G158,'DB2'!$A:$B,2,0),"공동과책 확인")</f>
        <v>Hyun, Yunjung</v>
      </c>
      <c r="P158" s="30" t="s">
        <v>1906</v>
      </c>
      <c r="Q158" s="30"/>
      <c r="R158" s="30" t="str">
        <f>IFERROR(VLOOKUP($I158,'DB2'!$F$2:$I$50,2,0),"옛날 부서명 확인")</f>
        <v xml:space="preserve">Water Management Division </v>
      </c>
      <c r="S158" s="30" t="str">
        <f>IFERROR(VLOOKUP($I158,'DB2'!$F$2:$I$50,4,0),"옛날 부서명 확인")</f>
        <v xml:space="preserve">Land and Environment Research Group </v>
      </c>
    </row>
    <row r="159" spans="1:19" ht="22.5" hidden="1" customHeight="1">
      <c r="A159" s="19" t="s">
        <v>825</v>
      </c>
      <c r="B159" s="19" t="s">
        <v>807</v>
      </c>
      <c r="C159" s="19" t="s">
        <v>826</v>
      </c>
      <c r="D159" s="20" t="s">
        <v>827</v>
      </c>
      <c r="E159" s="20"/>
      <c r="F159" s="20" t="s">
        <v>816</v>
      </c>
      <c r="G159" s="19" t="s">
        <v>817</v>
      </c>
      <c r="H159" s="20" t="s">
        <v>818</v>
      </c>
      <c r="I159" s="20" t="s">
        <v>269</v>
      </c>
      <c r="J159" s="21">
        <v>1000000</v>
      </c>
      <c r="K159" s="22">
        <v>45658</v>
      </c>
      <c r="L159" s="22">
        <v>45716</v>
      </c>
      <c r="M159" s="20"/>
      <c r="N159" s="23" t="s">
        <v>2070</v>
      </c>
      <c r="O159" s="23" t="str">
        <f>IFERROR(VLOOKUP($G159,'DB2'!$A:$B,2,0),"공동과책 확인")</f>
        <v>Lim, Hyesook</v>
      </c>
      <c r="P159" s="23" t="s">
        <v>1900</v>
      </c>
      <c r="Q159" s="23"/>
      <c r="R159" s="23" t="str">
        <f>IFERROR(VLOOKUP($I159,'DB2'!$F$2:$I$50,2,0),"옛날 부서명 확인")</f>
        <v xml:space="preserve">Circular Economy Division </v>
      </c>
      <c r="S159" s="23" t="str">
        <f>IFERROR(VLOOKUP($I159,'DB2'!$F$2:$I$50,4,0),"옛날 부서명 확인")</f>
        <v xml:space="preserve">Sustainable Development Research Group  </v>
      </c>
    </row>
    <row r="160" spans="1:19" ht="22.5" hidden="1" customHeight="1">
      <c r="A160" s="19" t="s">
        <v>828</v>
      </c>
      <c r="B160" s="19" t="s">
        <v>807</v>
      </c>
      <c r="C160" s="19" t="s">
        <v>829</v>
      </c>
      <c r="D160" s="20" t="s">
        <v>830</v>
      </c>
      <c r="E160" s="20"/>
      <c r="F160" s="20" t="s">
        <v>823</v>
      </c>
      <c r="G160" s="19" t="s">
        <v>824</v>
      </c>
      <c r="H160" s="20" t="s">
        <v>144</v>
      </c>
      <c r="I160" s="20" t="s">
        <v>424</v>
      </c>
      <c r="J160" s="21">
        <v>1000000</v>
      </c>
      <c r="K160" s="22">
        <v>45658</v>
      </c>
      <c r="L160" s="22">
        <v>45716</v>
      </c>
      <c r="M160" s="20"/>
      <c r="N160" s="23" t="s">
        <v>2071</v>
      </c>
      <c r="O160" s="23" t="str">
        <f>IFERROR(VLOOKUP($G160,'DB2'!$A:$B,2,0),"공동과책 확인")</f>
        <v xml:space="preserve">Heo, Namjoo </v>
      </c>
      <c r="P160" s="23" t="s">
        <v>1901</v>
      </c>
      <c r="Q160" s="23"/>
      <c r="R160" s="23" t="str">
        <f>IFERROR(VLOOKUP($I160,'DB2'!$F$2:$I$50,2,0),"옛날 부서명 확인")</f>
        <v xml:space="preserve">Climate and Energy Assessment Division </v>
      </c>
      <c r="S160" s="23" t="str">
        <f>IFERROR(VLOOKUP($I160,'DB2'!$F$2:$I$50,4,0),"옛날 부서명 확인")</f>
        <v xml:space="preserve">Environmental Assessment Group </v>
      </c>
    </row>
    <row r="161" spans="1:19" ht="22.5" hidden="1" customHeight="1">
      <c r="A161" s="19" t="s">
        <v>857</v>
      </c>
      <c r="B161" s="19" t="s">
        <v>807</v>
      </c>
      <c r="C161" s="19" t="s">
        <v>858</v>
      </c>
      <c r="D161" s="20" t="s">
        <v>859</v>
      </c>
      <c r="E161" s="20"/>
      <c r="F161" s="20" t="s">
        <v>605</v>
      </c>
      <c r="G161" s="19" t="s">
        <v>606</v>
      </c>
      <c r="H161" s="20" t="s">
        <v>27</v>
      </c>
      <c r="I161" s="20" t="s">
        <v>28</v>
      </c>
      <c r="J161" s="21">
        <v>2740000</v>
      </c>
      <c r="K161" s="22">
        <v>45658</v>
      </c>
      <c r="L161" s="22">
        <v>45747</v>
      </c>
      <c r="M161" s="20"/>
      <c r="N161" s="23" t="s">
        <v>2072</v>
      </c>
      <c r="O161" s="23" t="str">
        <f>IFERROR(VLOOKUP($G161,'DB2'!$A:$B,2,0),"공동과책 확인")</f>
        <v>Hong, Hyunjung</v>
      </c>
      <c r="P161" s="23" t="s">
        <v>1901</v>
      </c>
      <c r="Q161" s="23" t="s">
        <v>1902</v>
      </c>
      <c r="R161" s="23" t="str">
        <f>IFERROR(VLOOKUP($I161,'DB2'!$F$2:$I$50,2,0),"옛날 부서명 확인")</f>
        <v xml:space="preserve">Natural Environment Division </v>
      </c>
      <c r="S161" s="23" t="str">
        <f>IFERROR(VLOOKUP($I161,'DB2'!$F$2:$I$50,4,0),"옛날 부서명 확인")</f>
        <v xml:space="preserve">Land and Environment Research Group </v>
      </c>
    </row>
    <row r="162" spans="1:19" ht="22.5" hidden="1" customHeight="1">
      <c r="A162" s="19" t="s">
        <v>860</v>
      </c>
      <c r="B162" s="19" t="s">
        <v>807</v>
      </c>
      <c r="C162" s="19" t="s">
        <v>861</v>
      </c>
      <c r="D162" s="20" t="s">
        <v>862</v>
      </c>
      <c r="E162" s="20"/>
      <c r="F162" s="20" t="s">
        <v>840</v>
      </c>
      <c r="G162" s="19" t="s">
        <v>841</v>
      </c>
      <c r="H162" s="20" t="s">
        <v>155</v>
      </c>
      <c r="I162" s="20" t="s">
        <v>156</v>
      </c>
      <c r="J162" s="21">
        <v>2500000</v>
      </c>
      <c r="K162" s="22">
        <v>45658</v>
      </c>
      <c r="L162" s="22">
        <v>45808</v>
      </c>
      <c r="M162" s="20"/>
      <c r="N162" s="23" t="s">
        <v>2073</v>
      </c>
      <c r="O162" s="23" t="str">
        <f>IFERROR(VLOOKUP($G162,'DB2'!$A:$B,2,0),"공동과책 확인")</f>
        <v xml:space="preserve"> Lim, Miyoung</v>
      </c>
      <c r="P162" s="23" t="s">
        <v>1903</v>
      </c>
      <c r="Q162" s="23" t="s">
        <v>1904</v>
      </c>
      <c r="R162" s="23" t="str">
        <f>IFERROR(VLOOKUP($I162,'DB2'!$F$2:$I$50,2,0),"옛날 부서명 확인")</f>
        <v xml:space="preserve">Environmental Health Division </v>
      </c>
      <c r="S162" s="23" t="str">
        <f>IFERROR(VLOOKUP($I162,'DB2'!$F$2:$I$50,4,0),"옛날 부서명 확인")</f>
        <v xml:space="preserve">Sustainable Development Research Group  </v>
      </c>
    </row>
    <row r="163" spans="1:19" ht="22.5" hidden="1" customHeight="1">
      <c r="A163" s="19" t="s">
        <v>863</v>
      </c>
      <c r="B163" s="19" t="s">
        <v>807</v>
      </c>
      <c r="C163" s="19" t="s">
        <v>864</v>
      </c>
      <c r="D163" s="20" t="s">
        <v>865</v>
      </c>
      <c r="E163" s="20"/>
      <c r="F163" s="20" t="s">
        <v>845</v>
      </c>
      <c r="G163" s="19" t="s">
        <v>846</v>
      </c>
      <c r="H163" s="20" t="s">
        <v>847</v>
      </c>
      <c r="I163" s="20" t="s">
        <v>1071</v>
      </c>
      <c r="J163" s="21">
        <v>2476000</v>
      </c>
      <c r="K163" s="22">
        <v>45658</v>
      </c>
      <c r="L163" s="22">
        <v>45808</v>
      </c>
      <c r="M163" s="20"/>
      <c r="N163" s="23" t="s">
        <v>2074</v>
      </c>
      <c r="O163" s="23" t="str">
        <f>IFERROR(VLOOKUP($G163,'DB2'!$A:$B,2,0),"공동과책 확인")</f>
        <v xml:space="preserve">Kim, Doyeon </v>
      </c>
      <c r="P163" s="23" t="s">
        <v>1905</v>
      </c>
      <c r="Q163" s="23" t="s">
        <v>1904</v>
      </c>
      <c r="R163" s="23" t="str">
        <f>IFERROR(VLOOKUP($I163,'DB2'!$F$2:$I$50,2,0),"옛날 부서명 확인")</f>
        <v xml:space="preserve">AI and Data Team </v>
      </c>
      <c r="S163" s="23" t="str">
        <f>IFERROR(VLOOKUP($I163,'DB2'!$F$2:$I$50,4,0),"옛날 부서명 확인")</f>
        <v xml:space="preserve">Department of Planning and Strategy </v>
      </c>
    </row>
    <row r="164" spans="1:19" ht="22.5" hidden="1" customHeight="1">
      <c r="A164" s="19" t="s">
        <v>866</v>
      </c>
      <c r="B164" s="19" t="s">
        <v>807</v>
      </c>
      <c r="C164" s="19" t="s">
        <v>867</v>
      </c>
      <c r="D164" s="20" t="s">
        <v>868</v>
      </c>
      <c r="E164" s="20"/>
      <c r="F164" s="20" t="s">
        <v>459</v>
      </c>
      <c r="G164" s="19" t="s">
        <v>460</v>
      </c>
      <c r="H164" s="20" t="s">
        <v>98</v>
      </c>
      <c r="I164" s="20" t="s">
        <v>212</v>
      </c>
      <c r="J164" s="21">
        <v>2450000</v>
      </c>
      <c r="K164" s="22">
        <v>45658</v>
      </c>
      <c r="L164" s="22">
        <v>45808</v>
      </c>
      <c r="M164" s="20"/>
      <c r="N164" s="23" t="s">
        <v>2075</v>
      </c>
      <c r="O164" s="23" t="str">
        <f>IFERROR(VLOOKUP($G164,'DB2'!$A:$B,2,0),"공동과책 확인")</f>
        <v>Choi, Mikyoung</v>
      </c>
      <c r="P164" s="23" t="s">
        <v>1906</v>
      </c>
      <c r="Q164" s="23" t="s">
        <v>1902</v>
      </c>
      <c r="R164" s="23" t="str">
        <f>IFERROR(VLOOKUP($I164,'DB2'!$F$2:$I$50,2,0),"옛날 부서명 확인")</f>
        <v xml:space="preserve">Water Management Division </v>
      </c>
      <c r="S164" s="23" t="str">
        <f>IFERROR(VLOOKUP($I164,'DB2'!$F$2:$I$50,4,0),"옛날 부서명 확인")</f>
        <v xml:space="preserve">Land and Environment Research Group </v>
      </c>
    </row>
    <row r="165" spans="1:19" ht="22.5" hidden="1" customHeight="1">
      <c r="A165" s="19" t="s">
        <v>869</v>
      </c>
      <c r="B165" s="19" t="s">
        <v>807</v>
      </c>
      <c r="C165" s="19" t="s">
        <v>870</v>
      </c>
      <c r="D165" s="20" t="s">
        <v>871</v>
      </c>
      <c r="E165" s="20"/>
      <c r="F165" s="20" t="s">
        <v>855</v>
      </c>
      <c r="G165" s="19" t="s">
        <v>856</v>
      </c>
      <c r="H165" s="20" t="s">
        <v>60</v>
      </c>
      <c r="I165" s="20" t="s">
        <v>519</v>
      </c>
      <c r="J165" s="21">
        <v>2450000</v>
      </c>
      <c r="K165" s="22">
        <v>45658</v>
      </c>
      <c r="L165" s="22">
        <v>45808</v>
      </c>
      <c r="M165" s="20"/>
      <c r="N165" s="23" t="s">
        <v>2076</v>
      </c>
      <c r="O165" s="23" t="str">
        <f>IFERROR(VLOOKUP($G165,'DB2'!$A:$B,2,0),"공동과책 확인")</f>
        <v>Kang, Eugene</v>
      </c>
      <c r="P165" s="23" t="s">
        <v>1907</v>
      </c>
      <c r="Q165" s="23" t="s">
        <v>1906</v>
      </c>
      <c r="R165" s="23" t="str">
        <f>IFERROR(VLOOKUP($I165,'DB2'!$F$2:$I$50,2,0),"옛날 부서명 확인")</f>
        <v xml:space="preserve">Environmental Assessment Group </v>
      </c>
      <c r="S165" s="23" t="str">
        <f>IFERROR(VLOOKUP($I165,'DB2'!$F$2:$I$50,4,0),"옛날 부서명 확인")</f>
        <v xml:space="preserve">Environmental Assessment Group </v>
      </c>
    </row>
    <row r="166" spans="1:19" ht="22.5" hidden="1" customHeight="1">
      <c r="A166" s="19" t="s">
        <v>875</v>
      </c>
      <c r="B166" s="19" t="s">
        <v>807</v>
      </c>
      <c r="C166" s="19" t="s">
        <v>876</v>
      </c>
      <c r="D166" s="20" t="s">
        <v>877</v>
      </c>
      <c r="E166" s="20"/>
      <c r="F166" s="20" t="s">
        <v>816</v>
      </c>
      <c r="G166" s="19" t="s">
        <v>817</v>
      </c>
      <c r="H166" s="20" t="s">
        <v>268</v>
      </c>
      <c r="I166" s="20" t="s">
        <v>269</v>
      </c>
      <c r="J166" s="21">
        <v>3000000</v>
      </c>
      <c r="K166" s="22">
        <v>45720</v>
      </c>
      <c r="L166" s="22">
        <v>45903</v>
      </c>
      <c r="M166" s="20"/>
      <c r="N166" s="23" t="s">
        <v>2077</v>
      </c>
      <c r="O166" s="23" t="str">
        <f>IFERROR(VLOOKUP($G166,'DB2'!$A:$B,2,0),"공동과책 확인")</f>
        <v>Lim, Hyesook</v>
      </c>
      <c r="P166" s="23" t="s">
        <v>1900</v>
      </c>
      <c r="Q166" s="23"/>
      <c r="R166" s="23" t="str">
        <f>IFERROR(VLOOKUP($I166,'DB2'!$F$2:$I$50,2,0),"옛날 부서명 확인")</f>
        <v xml:space="preserve">Circular Economy Division </v>
      </c>
      <c r="S166" s="23" t="str">
        <f>IFERROR(VLOOKUP($I166,'DB2'!$F$2:$I$50,4,0),"옛날 부서명 확인")</f>
        <v xml:space="preserve">Sustainable Development Research Group  </v>
      </c>
    </row>
    <row r="167" spans="1:19" ht="22.5" hidden="1" customHeight="1">
      <c r="A167" s="19" t="s">
        <v>878</v>
      </c>
      <c r="B167" s="19" t="s">
        <v>807</v>
      </c>
      <c r="C167" s="19" t="s">
        <v>879</v>
      </c>
      <c r="D167" s="20" t="s">
        <v>880</v>
      </c>
      <c r="E167" s="20"/>
      <c r="F167" s="20" t="s">
        <v>631</v>
      </c>
      <c r="G167" s="19" t="s">
        <v>632</v>
      </c>
      <c r="H167" s="20" t="s">
        <v>211</v>
      </c>
      <c r="I167" s="20" t="s">
        <v>212</v>
      </c>
      <c r="J167" s="21">
        <v>3000000</v>
      </c>
      <c r="K167" s="22">
        <v>45720</v>
      </c>
      <c r="L167" s="22">
        <v>45903</v>
      </c>
      <c r="M167" s="20"/>
      <c r="N167" s="23" t="s">
        <v>2078</v>
      </c>
      <c r="O167" s="23" t="str">
        <f>IFERROR(VLOOKUP($G167,'DB2'!$A:$B,2,0),"공동과책 확인")</f>
        <v>Kim, Yeonjoong</v>
      </c>
      <c r="P167" s="23" t="s">
        <v>1908</v>
      </c>
      <c r="Q167" s="23" t="s">
        <v>1909</v>
      </c>
      <c r="R167" s="23" t="str">
        <f>IFERROR(VLOOKUP($I167,'DB2'!$F$2:$I$50,2,0),"옛날 부서명 확인")</f>
        <v xml:space="preserve">Water Management Division </v>
      </c>
      <c r="S167" s="23" t="str">
        <f>IFERROR(VLOOKUP($I167,'DB2'!$F$2:$I$50,4,0),"옛날 부서명 확인")</f>
        <v xml:space="preserve">Land and Environment Research Group </v>
      </c>
    </row>
    <row r="168" spans="1:19" ht="22.5" hidden="1" customHeight="1">
      <c r="A168" s="19" t="s">
        <v>881</v>
      </c>
      <c r="B168" s="19" t="s">
        <v>807</v>
      </c>
      <c r="C168" s="19" t="s">
        <v>882</v>
      </c>
      <c r="D168" s="20" t="s">
        <v>883</v>
      </c>
      <c r="E168" s="20"/>
      <c r="F168" s="20" t="s">
        <v>884</v>
      </c>
      <c r="G168" s="19" t="s">
        <v>885</v>
      </c>
      <c r="H168" s="20" t="s">
        <v>352</v>
      </c>
      <c r="I168" s="20" t="s">
        <v>353</v>
      </c>
      <c r="J168" s="21">
        <v>3000000</v>
      </c>
      <c r="K168" s="22">
        <v>45720</v>
      </c>
      <c r="L168" s="22">
        <v>45903</v>
      </c>
      <c r="M168" s="20"/>
      <c r="N168" s="23" t="s">
        <v>2079</v>
      </c>
      <c r="O168" s="23" t="str">
        <f>IFERROR(VLOOKUP($G168,'DB2'!$A:$B,2,0),"공동과책 확인")</f>
        <v xml:space="preserve">Kim, Hyunjung </v>
      </c>
      <c r="P168" s="23" t="s">
        <v>1910</v>
      </c>
      <c r="Q168" s="23" t="s">
        <v>1911</v>
      </c>
      <c r="R168" s="23" t="str">
        <f>IFERROR(VLOOKUP($I168,'DB2'!$F$2:$I$50,2,0),"옛날 부서명 확인")</f>
        <v xml:space="preserve">Green Economy Division </v>
      </c>
      <c r="S168" s="23" t="str">
        <f>IFERROR(VLOOKUP($I168,'DB2'!$F$2:$I$50,4,0),"옛날 부서명 확인")</f>
        <v xml:space="preserve">Climate and Atmospheric Strategy Research Group  </v>
      </c>
    </row>
    <row r="169" spans="1:19" ht="22.5" hidden="1" customHeight="1">
      <c r="A169" s="19" t="s">
        <v>889</v>
      </c>
      <c r="B169" s="19" t="s">
        <v>807</v>
      </c>
      <c r="C169" s="19" t="s">
        <v>890</v>
      </c>
      <c r="D169" s="20" t="s">
        <v>891</v>
      </c>
      <c r="E169" s="20"/>
      <c r="F169" s="20" t="s">
        <v>892</v>
      </c>
      <c r="G169" s="19" t="s">
        <v>893</v>
      </c>
      <c r="H169" s="20" t="s">
        <v>508</v>
      </c>
      <c r="I169" s="20" t="s">
        <v>509</v>
      </c>
      <c r="J169" s="21">
        <v>3000000</v>
      </c>
      <c r="K169" s="22">
        <v>45810</v>
      </c>
      <c r="L169" s="22">
        <v>45992</v>
      </c>
      <c r="M169" s="20"/>
      <c r="N169" s="23" t="s">
        <v>2080</v>
      </c>
      <c r="O169" s="23" t="str">
        <f>IFERROR(VLOOKUP($G169,'DB2'!$A:$B,2,0),"공동과책 확인")</f>
        <v>Kim, Hyo Gyeom</v>
      </c>
      <c r="P169" s="23" t="s">
        <v>1907</v>
      </c>
      <c r="Q169" s="23" t="s">
        <v>1906</v>
      </c>
      <c r="R169" s="23" t="str">
        <f>IFERROR(VLOOKUP($I169,'DB2'!$F$2:$I$50,2,0),"옛날 부서명 확인")</f>
        <v xml:space="preserve">Environmental Resources Assessment Division </v>
      </c>
      <c r="S169" s="23" t="str">
        <f>IFERROR(VLOOKUP($I169,'DB2'!$F$2:$I$50,4,0),"옛날 부서명 확인")</f>
        <v xml:space="preserve">Environmental Assessment Group </v>
      </c>
    </row>
    <row r="170" spans="1:19" ht="22.5" hidden="1" customHeight="1">
      <c r="A170" s="19" t="s">
        <v>894</v>
      </c>
      <c r="B170" s="19" t="s">
        <v>807</v>
      </c>
      <c r="C170" s="19" t="s">
        <v>895</v>
      </c>
      <c r="D170" s="20" t="s">
        <v>896</v>
      </c>
      <c r="E170" s="20"/>
      <c r="F170" s="20" t="s">
        <v>58</v>
      </c>
      <c r="G170" s="19" t="s">
        <v>59</v>
      </c>
      <c r="H170" s="20" t="s">
        <v>438</v>
      </c>
      <c r="I170" s="20" t="s">
        <v>439</v>
      </c>
      <c r="J170" s="21">
        <v>3000000</v>
      </c>
      <c r="K170" s="22">
        <v>45810</v>
      </c>
      <c r="L170" s="22">
        <v>45992</v>
      </c>
      <c r="M170" s="20"/>
      <c r="N170" s="23" t="s">
        <v>2081</v>
      </c>
      <c r="O170" s="23" t="str">
        <f>IFERROR(VLOOKUP($G170,'DB2'!$A:$B,2,0),"공동과책 확인")</f>
        <v>Choi, Yuyoung</v>
      </c>
      <c r="P170" s="23" t="s">
        <v>1904</v>
      </c>
      <c r="Q170" s="23" t="s">
        <v>1902</v>
      </c>
      <c r="R170" s="23" t="str">
        <f>IFERROR(VLOOKUP($I170,'DB2'!$F$2:$I$50,2,0),"옛날 부서명 확인")</f>
        <v xml:space="preserve">Land Strategy Assessment Division </v>
      </c>
      <c r="S170" s="23" t="str">
        <f>IFERROR(VLOOKUP($I170,'DB2'!$F$2:$I$50,4,0),"옛날 부서명 확인")</f>
        <v xml:space="preserve">Environmental Assessment Group </v>
      </c>
    </row>
    <row r="171" spans="1:19" ht="22.5" hidden="1" customHeight="1">
      <c r="A171" s="19" t="s">
        <v>920</v>
      </c>
      <c r="B171" s="19" t="s">
        <v>921</v>
      </c>
      <c r="C171" s="19" t="s">
        <v>922</v>
      </c>
      <c r="D171" s="20" t="s">
        <v>923</v>
      </c>
      <c r="E171" s="20"/>
      <c r="F171" s="20" t="s">
        <v>924</v>
      </c>
      <c r="G171" s="19" t="s">
        <v>925</v>
      </c>
      <c r="H171" s="20" t="s">
        <v>907</v>
      </c>
      <c r="I171" s="20" t="s">
        <v>908</v>
      </c>
      <c r="J171" s="21">
        <v>41455000</v>
      </c>
      <c r="K171" s="22">
        <v>45658</v>
      </c>
      <c r="L171" s="22">
        <v>46022</v>
      </c>
      <c r="M171" s="20"/>
      <c r="N171" s="23" t="s">
        <v>2082</v>
      </c>
      <c r="O171" s="23" t="str">
        <f>IFERROR(VLOOKUP($G171,'DB2'!$A:$B,2,0),"공동과책 확인")</f>
        <v>Park, Jun Hyun</v>
      </c>
      <c r="P171" s="23" t="s">
        <v>1904</v>
      </c>
      <c r="Q171" s="23" t="s">
        <v>1912</v>
      </c>
      <c r="R171" s="23" t="str">
        <f>IFERROR(VLOOKUP($I171,'DB2'!$F$2:$I$50,2,0),"옛날 부서명 확인")</f>
        <v>Global Cooperation Team</v>
      </c>
      <c r="S171" s="23" t="str">
        <f>IFERROR(VLOOKUP($I171,'DB2'!$F$2:$I$50,4,0),"옛날 부서명 확인")</f>
        <v xml:space="preserve">Department of Planning and Strategy </v>
      </c>
    </row>
    <row r="172" spans="1:19" ht="22.5" hidden="1" customHeight="1">
      <c r="A172" s="19" t="s">
        <v>926</v>
      </c>
      <c r="B172" s="19" t="s">
        <v>921</v>
      </c>
      <c r="C172" s="19" t="s">
        <v>927</v>
      </c>
      <c r="D172" s="20" t="s">
        <v>928</v>
      </c>
      <c r="E172" s="20"/>
      <c r="F172" s="20" t="s">
        <v>219</v>
      </c>
      <c r="G172" s="19" t="s">
        <v>341</v>
      </c>
      <c r="H172" s="20" t="s">
        <v>221</v>
      </c>
      <c r="I172" s="20" t="s">
        <v>222</v>
      </c>
      <c r="J172" s="21">
        <v>97075000</v>
      </c>
      <c r="K172" s="22">
        <v>45658</v>
      </c>
      <c r="L172" s="22">
        <v>46022</v>
      </c>
      <c r="M172" s="20"/>
      <c r="N172" s="23" t="s">
        <v>2083</v>
      </c>
      <c r="O172" s="23" t="str">
        <f>IFERROR(VLOOKUP($G172,'DB2'!$A:$B,2,0),"공동과책 확인")</f>
        <v>Yoon, Jeongho</v>
      </c>
      <c r="P172" s="23" t="s">
        <v>1904</v>
      </c>
      <c r="Q172" s="23" t="s">
        <v>1901</v>
      </c>
      <c r="R172" s="23" t="str">
        <f>IFERROR(VLOOKUP($I172,'DB2'!$F$2:$I$50,2,0),"옛날 부서명 확인")</f>
        <v>Spatial Planning and Management Division</v>
      </c>
      <c r="S172" s="23" t="str">
        <f>IFERROR(VLOOKUP($I172,'DB2'!$F$2:$I$50,4,0),"옛날 부서명 확인")</f>
        <v xml:space="preserve">Land and Environment Research Group </v>
      </c>
    </row>
    <row r="173" spans="1:19" ht="22.5" hidden="1" customHeight="1">
      <c r="A173" s="19" t="s">
        <v>929</v>
      </c>
      <c r="B173" s="19" t="s">
        <v>921</v>
      </c>
      <c r="C173" s="19" t="s">
        <v>930</v>
      </c>
      <c r="D173" s="20" t="s">
        <v>931</v>
      </c>
      <c r="E173" s="20"/>
      <c r="F173" s="20" t="s">
        <v>38</v>
      </c>
      <c r="G173" s="19" t="s">
        <v>39</v>
      </c>
      <c r="H173" s="20" t="s">
        <v>40</v>
      </c>
      <c r="I173" s="20" t="s">
        <v>41</v>
      </c>
      <c r="J173" s="21">
        <v>281823000</v>
      </c>
      <c r="K173" s="22">
        <v>45658</v>
      </c>
      <c r="L173" s="22">
        <v>46022</v>
      </c>
      <c r="M173" s="20"/>
      <c r="N173" s="23" t="s">
        <v>2084</v>
      </c>
      <c r="O173" s="23" t="str">
        <f>IFERROR(VLOOKUP($G173,'DB2'!$A:$B,2,0),"공동과책 확인")</f>
        <v>Cho, Kongjang</v>
      </c>
      <c r="P173" s="23" t="s">
        <v>1904</v>
      </c>
      <c r="Q173" s="23" t="s">
        <v>1911</v>
      </c>
      <c r="R173" s="23" t="str">
        <f>IFERROR(VLOOKUP($I173,'DB2'!$F$2:$I$50,2,0),"옛날 부서명 확인")</f>
        <v xml:space="preserve">Living Environment and Society Division </v>
      </c>
      <c r="S173" s="23" t="str">
        <f>IFERROR(VLOOKUP($I173,'DB2'!$F$2:$I$50,4,0),"옛날 부서명 확인")</f>
        <v xml:space="preserve">Sustainable Development Research Group  </v>
      </c>
    </row>
    <row r="174" spans="1:19" ht="22.5" hidden="1" customHeight="1">
      <c r="A174" s="19" t="s">
        <v>932</v>
      </c>
      <c r="B174" s="19" t="s">
        <v>921</v>
      </c>
      <c r="C174" s="19" t="s">
        <v>933</v>
      </c>
      <c r="D174" s="20" t="s">
        <v>934</v>
      </c>
      <c r="E174" s="20"/>
      <c r="F174" s="20" t="s">
        <v>306</v>
      </c>
      <c r="G174" s="19" t="s">
        <v>307</v>
      </c>
      <c r="H174" s="20" t="s">
        <v>308</v>
      </c>
      <c r="I174" s="20" t="s">
        <v>309</v>
      </c>
      <c r="J174" s="21">
        <v>93231000</v>
      </c>
      <c r="K174" s="22">
        <v>45658</v>
      </c>
      <c r="L174" s="22">
        <v>46022</v>
      </c>
      <c r="M174" s="20"/>
      <c r="N174" s="23" t="s">
        <v>2085</v>
      </c>
      <c r="O174" s="23" t="str">
        <f>IFERROR(VLOOKUP($G174,'DB2'!$A:$B,2,0),"공동과책 확인")</f>
        <v>Jung, Huicheul</v>
      </c>
      <c r="P174" s="23" t="s">
        <v>1908</v>
      </c>
      <c r="Q174" s="23"/>
      <c r="R174" s="23" t="str">
        <f>IFERROR(VLOOKUP($I174,'DB2'!$F$2:$I$50,2,0),"옛날 부서명 확인")</f>
        <v xml:space="preserve">Korea Adaptation Center for Climate Change </v>
      </c>
      <c r="S174" s="23" t="str">
        <f>IFERROR(VLOOKUP($I174,'DB2'!$F$2:$I$50,4,0),"옛날 부서명 확인")</f>
        <v xml:space="preserve">Korea Adaptation Center for Climate Change </v>
      </c>
    </row>
    <row r="175" spans="1:19" ht="22.5" hidden="1" customHeight="1">
      <c r="A175" s="19" t="s">
        <v>935</v>
      </c>
      <c r="B175" s="19" t="s">
        <v>921</v>
      </c>
      <c r="C175" s="19" t="s">
        <v>936</v>
      </c>
      <c r="D175" s="20" t="s">
        <v>937</v>
      </c>
      <c r="E175" s="20"/>
      <c r="F175" s="20" t="s">
        <v>516</v>
      </c>
      <c r="G175" s="19" t="s">
        <v>517</v>
      </c>
      <c r="H175" s="20" t="s">
        <v>518</v>
      </c>
      <c r="I175" s="20" t="s">
        <v>519</v>
      </c>
      <c r="J175" s="21">
        <v>305880000</v>
      </c>
      <c r="K175" s="22">
        <v>45658</v>
      </c>
      <c r="L175" s="22">
        <v>46022</v>
      </c>
      <c r="M175" s="20"/>
      <c r="N175" s="23" t="s">
        <v>2086</v>
      </c>
      <c r="O175" s="23" t="str">
        <f>IFERROR(VLOOKUP($G175,'DB2'!$A:$B,2,0),"공동과책 확인")</f>
        <v>Lee, Sangbum</v>
      </c>
      <c r="P175" s="23" t="s">
        <v>1907</v>
      </c>
      <c r="Q175" s="23" t="s">
        <v>1904</v>
      </c>
      <c r="R175" s="23" t="str">
        <f>IFERROR(VLOOKUP($I175,'DB2'!$F$2:$I$50,2,0),"옛날 부서명 확인")</f>
        <v xml:space="preserve">Environmental Assessment Group </v>
      </c>
      <c r="S175" s="23" t="str">
        <f>IFERROR(VLOOKUP($I175,'DB2'!$F$2:$I$50,4,0),"옛날 부서명 확인")</f>
        <v xml:space="preserve">Environmental Assessment Group </v>
      </c>
    </row>
    <row r="176" spans="1:19" ht="22.5" hidden="1" customHeight="1">
      <c r="A176" s="19" t="s">
        <v>938</v>
      </c>
      <c r="B176" s="19" t="s">
        <v>921</v>
      </c>
      <c r="C176" s="19" t="s">
        <v>939</v>
      </c>
      <c r="D176" s="20" t="s">
        <v>940</v>
      </c>
      <c r="E176" s="20"/>
      <c r="F176" s="20" t="s">
        <v>516</v>
      </c>
      <c r="G176" s="19" t="s">
        <v>517</v>
      </c>
      <c r="H176" s="20" t="s">
        <v>518</v>
      </c>
      <c r="I176" s="20" t="s">
        <v>519</v>
      </c>
      <c r="J176" s="21">
        <v>313728000</v>
      </c>
      <c r="K176" s="22">
        <v>45658</v>
      </c>
      <c r="L176" s="22">
        <v>46022</v>
      </c>
      <c r="M176" s="20"/>
      <c r="N176" s="23" t="s">
        <v>2087</v>
      </c>
      <c r="O176" s="23" t="str">
        <f>IFERROR(VLOOKUP($G176,'DB2'!$A:$B,2,0),"공동과책 확인")</f>
        <v>Lee, Sangbum</v>
      </c>
      <c r="P176" s="23" t="s">
        <v>1907</v>
      </c>
      <c r="Q176" s="23" t="s">
        <v>1908</v>
      </c>
      <c r="R176" s="23" t="str">
        <f>IFERROR(VLOOKUP($I176,'DB2'!$F$2:$I$50,2,0),"옛날 부서명 확인")</f>
        <v xml:space="preserve">Environmental Assessment Group </v>
      </c>
      <c r="S176" s="23" t="str">
        <f>IFERROR(VLOOKUP($I176,'DB2'!$F$2:$I$50,4,0),"옛날 부서명 확인")</f>
        <v xml:space="preserve">Environmental Assessment Group </v>
      </c>
    </row>
    <row r="177" spans="1:19" ht="22.5" hidden="1" customHeight="1">
      <c r="A177" s="19" t="s">
        <v>941</v>
      </c>
      <c r="B177" s="19" t="s">
        <v>921</v>
      </c>
      <c r="C177" s="19" t="s">
        <v>942</v>
      </c>
      <c r="D177" s="20" t="s">
        <v>919</v>
      </c>
      <c r="E177" s="20"/>
      <c r="F177" s="20" t="s">
        <v>943</v>
      </c>
      <c r="G177" s="19" t="s">
        <v>944</v>
      </c>
      <c r="H177" s="20" t="s">
        <v>268</v>
      </c>
      <c r="I177" s="20" t="s">
        <v>269</v>
      </c>
      <c r="J177" s="21">
        <v>100906000</v>
      </c>
      <c r="K177" s="22">
        <v>45658</v>
      </c>
      <c r="L177" s="22">
        <v>46022</v>
      </c>
      <c r="M177" s="20"/>
      <c r="N177" s="23" t="s">
        <v>2088</v>
      </c>
      <c r="O177" s="23" t="str">
        <f>IFERROR(VLOOKUP($G177,'DB2'!$A:$B,2,0),"공동과책 확인")</f>
        <v>Kim, Hoseok</v>
      </c>
      <c r="P177" s="23" t="s">
        <v>1910</v>
      </c>
      <c r="Q177" s="23" t="s">
        <v>1911</v>
      </c>
      <c r="R177" s="23" t="str">
        <f>IFERROR(VLOOKUP($I177,'DB2'!$F$2:$I$50,2,0),"옛날 부서명 확인")</f>
        <v xml:space="preserve">Circular Economy Division </v>
      </c>
      <c r="S177" s="23" t="str">
        <f>IFERROR(VLOOKUP($I177,'DB2'!$F$2:$I$50,4,0),"옛날 부서명 확인")</f>
        <v xml:space="preserve">Sustainable Development Research Group  </v>
      </c>
    </row>
    <row r="178" spans="1:19" ht="22.5" hidden="1" customHeight="1">
      <c r="A178" s="19" t="s">
        <v>945</v>
      </c>
      <c r="B178" s="19" t="s">
        <v>921</v>
      </c>
      <c r="C178" s="19" t="s">
        <v>946</v>
      </c>
      <c r="D178" s="20" t="s">
        <v>947</v>
      </c>
      <c r="E178" s="20"/>
      <c r="F178" s="20" t="s">
        <v>292</v>
      </c>
      <c r="G178" s="19" t="s">
        <v>293</v>
      </c>
      <c r="H178" s="20" t="s">
        <v>211</v>
      </c>
      <c r="I178" s="20" t="s">
        <v>212</v>
      </c>
      <c r="J178" s="21">
        <v>329637000</v>
      </c>
      <c r="K178" s="22">
        <v>45658</v>
      </c>
      <c r="L178" s="22">
        <v>46022</v>
      </c>
      <c r="M178" s="20"/>
      <c r="N178" s="23" t="s">
        <v>2089</v>
      </c>
      <c r="O178" s="23" t="str">
        <f>IFERROR(VLOOKUP($G178,'DB2'!$A:$B,2,0),"공동과책 확인")</f>
        <v>Ryu, Jaena</v>
      </c>
      <c r="P178" s="23" t="s">
        <v>1906</v>
      </c>
      <c r="Q178" s="23" t="s">
        <v>1910</v>
      </c>
      <c r="R178" s="23" t="str">
        <f>IFERROR(VLOOKUP($I178,'DB2'!$F$2:$I$50,2,0),"옛날 부서명 확인")</f>
        <v xml:space="preserve">Water Management Division </v>
      </c>
      <c r="S178" s="23" t="str">
        <f>IFERROR(VLOOKUP($I178,'DB2'!$F$2:$I$50,4,0),"옛날 부서명 확인")</f>
        <v xml:space="preserve">Land and Environment Research Group </v>
      </c>
    </row>
    <row r="179" spans="1:19" ht="22.5" hidden="1" customHeight="1">
      <c r="A179" s="19" t="s">
        <v>948</v>
      </c>
      <c r="B179" s="19" t="s">
        <v>921</v>
      </c>
      <c r="C179" s="19" t="s">
        <v>949</v>
      </c>
      <c r="D179" s="20" t="s">
        <v>950</v>
      </c>
      <c r="E179" s="20"/>
      <c r="F179" s="20" t="s">
        <v>274</v>
      </c>
      <c r="G179" s="19" t="s">
        <v>275</v>
      </c>
      <c r="H179" s="20" t="s">
        <v>268</v>
      </c>
      <c r="I179" s="20" t="s">
        <v>269</v>
      </c>
      <c r="J179" s="21">
        <v>280000000</v>
      </c>
      <c r="K179" s="22">
        <v>45658</v>
      </c>
      <c r="L179" s="22">
        <v>46022</v>
      </c>
      <c r="M179" s="20"/>
      <c r="N179" s="23" t="s">
        <v>2090</v>
      </c>
      <c r="O179" s="23" t="str">
        <f>IFERROR(VLOOKUP($G179,'DB2'!$A:$B,2,0),"공동과책 확인")</f>
        <v xml:space="preserve">Yi, Sora </v>
      </c>
      <c r="P179" s="23" t="s">
        <v>1900</v>
      </c>
      <c r="Q179" s="23"/>
      <c r="R179" s="23" t="str">
        <f>IFERROR(VLOOKUP($I179,'DB2'!$F$2:$I$50,2,0),"옛날 부서명 확인")</f>
        <v xml:space="preserve">Circular Economy Division </v>
      </c>
      <c r="S179" s="23" t="str">
        <f>IFERROR(VLOOKUP($I179,'DB2'!$F$2:$I$50,4,0),"옛날 부서명 확인")</f>
        <v xml:space="preserve">Sustainable Development Research Group  </v>
      </c>
    </row>
    <row r="180" spans="1:19" ht="22.5" hidden="1" customHeight="1">
      <c r="A180" s="19" t="s">
        <v>951</v>
      </c>
      <c r="B180" s="19" t="s">
        <v>921</v>
      </c>
      <c r="C180" s="19" t="s">
        <v>952</v>
      </c>
      <c r="D180" s="20" t="s">
        <v>953</v>
      </c>
      <c r="E180" s="20"/>
      <c r="F180" s="20" t="s">
        <v>541</v>
      </c>
      <c r="G180" s="19" t="s">
        <v>542</v>
      </c>
      <c r="H180" s="20" t="s">
        <v>33</v>
      </c>
      <c r="I180" s="20" t="s">
        <v>28</v>
      </c>
      <c r="J180" s="21">
        <v>250000000</v>
      </c>
      <c r="K180" s="22">
        <v>45658</v>
      </c>
      <c r="L180" s="22">
        <v>46022</v>
      </c>
      <c r="M180" s="20"/>
      <c r="N180" s="23" t="s">
        <v>2091</v>
      </c>
      <c r="O180" s="23" t="str">
        <f>IFERROR(VLOOKUP($G180,'DB2'!$A:$B,2,0),"공동과책 확인")</f>
        <v>Lee, Who-Seung</v>
      </c>
      <c r="P180" s="23" t="s">
        <v>1902</v>
      </c>
      <c r="Q180" s="23" t="s">
        <v>1910</v>
      </c>
      <c r="R180" s="23" t="str">
        <f>IFERROR(VLOOKUP($I180,'DB2'!$F$2:$I$50,2,0),"옛날 부서명 확인")</f>
        <v xml:space="preserve">Natural Environment Division </v>
      </c>
      <c r="S180" s="23" t="str">
        <f>IFERROR(VLOOKUP($I180,'DB2'!$F$2:$I$50,4,0),"옛날 부서명 확인")</f>
        <v xml:space="preserve">Land and Environment Research Group </v>
      </c>
    </row>
    <row r="181" spans="1:19" ht="22.5" hidden="1" customHeight="1">
      <c r="A181" s="19" t="s">
        <v>954</v>
      </c>
      <c r="B181" s="19" t="s">
        <v>921</v>
      </c>
      <c r="C181" s="19" t="s">
        <v>955</v>
      </c>
      <c r="D181" s="20" t="s">
        <v>956</v>
      </c>
      <c r="E181" s="20"/>
      <c r="F181" s="20" t="s">
        <v>496</v>
      </c>
      <c r="G181" s="19" t="s">
        <v>497</v>
      </c>
      <c r="H181" s="20" t="s">
        <v>411</v>
      </c>
      <c r="I181" s="20" t="s">
        <v>412</v>
      </c>
      <c r="J181" s="21">
        <v>200000000</v>
      </c>
      <c r="K181" s="22">
        <v>45658</v>
      </c>
      <c r="L181" s="22">
        <v>46022</v>
      </c>
      <c r="M181" s="20"/>
      <c r="N181" s="23" t="s">
        <v>2092</v>
      </c>
      <c r="O181" s="23" t="str">
        <f>IFERROR(VLOOKUP($G181,'DB2'!$A:$B,2,0),"공동과책 확인")</f>
        <v>Park, Taeho</v>
      </c>
      <c r="P181" s="23" t="s">
        <v>1907</v>
      </c>
      <c r="Q181" s="23" t="s">
        <v>1904</v>
      </c>
      <c r="R181" s="23" t="str">
        <f>IFERROR(VLOOKUP($I181,'DB2'!$F$2:$I$50,2,0),"옛날 부서명 확인")</f>
        <v xml:space="preserve">Social Infrastructure Assessment Division </v>
      </c>
      <c r="S181" s="23" t="str">
        <f>IFERROR(VLOOKUP($I181,'DB2'!$F$2:$I$50,4,0),"옛날 부서명 확인")</f>
        <v xml:space="preserve">Environmental Assessment Group </v>
      </c>
    </row>
    <row r="182" spans="1:19" ht="22.5" hidden="1" customHeight="1">
      <c r="A182" s="19" t="s">
        <v>957</v>
      </c>
      <c r="B182" s="19" t="s">
        <v>921</v>
      </c>
      <c r="C182" s="19" t="s">
        <v>958</v>
      </c>
      <c r="D182" s="20" t="s">
        <v>959</v>
      </c>
      <c r="E182" s="20"/>
      <c r="F182" s="20" t="s">
        <v>153</v>
      </c>
      <c r="G182" s="19" t="s">
        <v>154</v>
      </c>
      <c r="H182" s="20" t="s">
        <v>559</v>
      </c>
      <c r="I182" s="20" t="s">
        <v>560</v>
      </c>
      <c r="J182" s="21">
        <v>198956000</v>
      </c>
      <c r="K182" s="22">
        <v>45658</v>
      </c>
      <c r="L182" s="22">
        <v>46022</v>
      </c>
      <c r="M182" s="20"/>
      <c r="N182" s="23" t="s">
        <v>2093</v>
      </c>
      <c r="O182" s="23" t="str">
        <f>IFERROR(VLOOKUP($G182,'DB2'!$A:$B,2,0),"공동과책 확인")</f>
        <v>Suh, Yang-won</v>
      </c>
      <c r="P182" s="23" t="s">
        <v>1910</v>
      </c>
      <c r="Q182" s="23"/>
      <c r="R182" s="23" t="str">
        <f>IFERROR(VLOOKUP($I182,'DB2'!$F$2:$I$50,2,0),"옛날 부서명 확인")</f>
        <v xml:space="preserve">Sustainable Development Research Group  </v>
      </c>
      <c r="S182" s="23" t="str">
        <f>IFERROR(VLOOKUP($I182,'DB2'!$F$2:$I$50,4,0),"옛날 부서명 확인")</f>
        <v xml:space="preserve">Sustainable Development Research Group  </v>
      </c>
    </row>
    <row r="183" spans="1:19" ht="22.5" hidden="1" customHeight="1">
      <c r="A183" s="19" t="s">
        <v>1004</v>
      </c>
      <c r="B183" s="19" t="s">
        <v>1005</v>
      </c>
      <c r="C183" s="19" t="s">
        <v>1006</v>
      </c>
      <c r="D183" s="20" t="s">
        <v>1007</v>
      </c>
      <c r="E183" s="20"/>
      <c r="F183" s="20" t="s">
        <v>605</v>
      </c>
      <c r="G183" s="19" t="s">
        <v>606</v>
      </c>
      <c r="H183" s="20" t="s">
        <v>33</v>
      </c>
      <c r="I183" s="20" t="s">
        <v>28</v>
      </c>
      <c r="J183" s="21">
        <v>45000000</v>
      </c>
      <c r="K183" s="22">
        <v>45658</v>
      </c>
      <c r="L183" s="22">
        <v>45961</v>
      </c>
      <c r="M183" s="20"/>
      <c r="N183" s="23" t="s">
        <v>2094</v>
      </c>
      <c r="O183" s="23" t="str">
        <f>IFERROR(VLOOKUP($G183,'DB2'!$A:$B,2,0),"공동과책 확인")</f>
        <v>Hong, Hyunjung</v>
      </c>
      <c r="P183" s="23" t="s">
        <v>1911</v>
      </c>
      <c r="Q183" s="23" t="s">
        <v>1902</v>
      </c>
      <c r="R183" s="23" t="str">
        <f>IFERROR(VLOOKUP($I183,'DB2'!$F$2:$I$50,2,0),"옛날 부서명 확인")</f>
        <v xml:space="preserve">Natural Environment Division </v>
      </c>
      <c r="S183" s="23" t="str">
        <f>IFERROR(VLOOKUP($I183,'DB2'!$F$2:$I$50,4,0),"옛날 부서명 확인")</f>
        <v xml:space="preserve">Land and Environment Research Group </v>
      </c>
    </row>
    <row r="184" spans="1:19" ht="22.5" hidden="1" customHeight="1">
      <c r="A184" s="19" t="s">
        <v>1008</v>
      </c>
      <c r="B184" s="19" t="s">
        <v>1005</v>
      </c>
      <c r="C184" s="19" t="s">
        <v>1009</v>
      </c>
      <c r="D184" s="20" t="s">
        <v>1010</v>
      </c>
      <c r="E184" s="20"/>
      <c r="F184" s="20" t="s">
        <v>1011</v>
      </c>
      <c r="G184" s="19" t="s">
        <v>1012</v>
      </c>
      <c r="H184" s="20" t="s">
        <v>40</v>
      </c>
      <c r="I184" s="20" t="s">
        <v>41</v>
      </c>
      <c r="J184" s="21">
        <v>30000000</v>
      </c>
      <c r="K184" s="22">
        <v>45658</v>
      </c>
      <c r="L184" s="22">
        <v>45961</v>
      </c>
      <c r="M184" s="20"/>
      <c r="N184" s="23" t="s">
        <v>2095</v>
      </c>
      <c r="O184" s="23" t="str">
        <f>IFERROR(VLOOKUP($G184,'DB2'!$A:$B,2,0),"공동과책 확인")</f>
        <v>Lee, Jae-hyuck</v>
      </c>
      <c r="P184" s="23" t="s">
        <v>1913</v>
      </c>
      <c r="Q184" s="23" t="s">
        <v>1909</v>
      </c>
      <c r="R184" s="23" t="str">
        <f>IFERROR(VLOOKUP($I184,'DB2'!$F$2:$I$50,2,0),"옛날 부서명 확인")</f>
        <v xml:space="preserve">Living Environment and Society Division </v>
      </c>
      <c r="S184" s="23" t="str">
        <f>IFERROR(VLOOKUP($I184,'DB2'!$F$2:$I$50,4,0),"옛날 부서명 확인")</f>
        <v xml:space="preserve">Sustainable Development Research Group  </v>
      </c>
    </row>
    <row r="185" spans="1:19" ht="22.5" hidden="1" customHeight="1">
      <c r="A185" s="19" t="s">
        <v>1013</v>
      </c>
      <c r="B185" s="19" t="s">
        <v>1005</v>
      </c>
      <c r="C185" s="19" t="s">
        <v>1014</v>
      </c>
      <c r="D185" s="20" t="s">
        <v>1015</v>
      </c>
      <c r="E185" s="20"/>
      <c r="F185" s="20" t="s">
        <v>775</v>
      </c>
      <c r="G185" s="19" t="s">
        <v>776</v>
      </c>
      <c r="H185" s="20" t="s">
        <v>423</v>
      </c>
      <c r="I185" s="20" t="s">
        <v>424</v>
      </c>
      <c r="J185" s="21">
        <v>30000000</v>
      </c>
      <c r="K185" s="22">
        <v>45658</v>
      </c>
      <c r="L185" s="22">
        <v>45961</v>
      </c>
      <c r="M185" s="20"/>
      <c r="N185" s="23" t="s">
        <v>2096</v>
      </c>
      <c r="O185" s="23" t="str">
        <f>IFERROR(VLOOKUP($G185,'DB2'!$A:$B,2,0),"공동과책 확인")</f>
        <v>Kim, Yumi</v>
      </c>
      <c r="P185" s="23" t="s">
        <v>1907</v>
      </c>
      <c r="Q185" s="23" t="s">
        <v>1908</v>
      </c>
      <c r="R185" s="23" t="str">
        <f>IFERROR(VLOOKUP($I185,'DB2'!$F$2:$I$50,2,0),"옛날 부서명 확인")</f>
        <v xml:space="preserve">Climate and Energy Assessment Division </v>
      </c>
      <c r="S185" s="23" t="str">
        <f>IFERROR(VLOOKUP($I185,'DB2'!$F$2:$I$50,4,0),"옛날 부서명 확인")</f>
        <v xml:space="preserve">Environmental Assessment Group </v>
      </c>
    </row>
    <row r="186" spans="1:19" ht="22.5" hidden="1" customHeight="1">
      <c r="A186" s="19" t="s">
        <v>1016</v>
      </c>
      <c r="B186" s="19" t="s">
        <v>1005</v>
      </c>
      <c r="C186" s="19" t="s">
        <v>1017</v>
      </c>
      <c r="D186" s="20" t="s">
        <v>1018</v>
      </c>
      <c r="E186" s="20"/>
      <c r="F186" s="20" t="s">
        <v>1019</v>
      </c>
      <c r="G186" s="19" t="s">
        <v>1020</v>
      </c>
      <c r="H186" s="20" t="s">
        <v>221</v>
      </c>
      <c r="I186" s="20" t="s">
        <v>222</v>
      </c>
      <c r="J186" s="21">
        <v>45000000</v>
      </c>
      <c r="K186" s="22">
        <v>45658</v>
      </c>
      <c r="L186" s="22">
        <v>45961</v>
      </c>
      <c r="M186" s="20"/>
      <c r="N186" s="23" t="s">
        <v>2097</v>
      </c>
      <c r="O186" s="23" t="str">
        <f>IFERROR(VLOOKUP($G186,'DB2'!$A:$B,2,0),"공동과책 확인")</f>
        <v xml:space="preserve">Kim, Taehyun </v>
      </c>
      <c r="P186" s="23" t="s">
        <v>1908</v>
      </c>
      <c r="Q186" s="23" t="s">
        <v>1901</v>
      </c>
      <c r="R186" s="23" t="str">
        <f>IFERROR(VLOOKUP($I186,'DB2'!$F$2:$I$50,2,0),"옛날 부서명 확인")</f>
        <v>Spatial Planning and Management Division</v>
      </c>
      <c r="S186" s="23" t="str">
        <f>IFERROR(VLOOKUP($I186,'DB2'!$F$2:$I$50,4,0),"옛날 부서명 확인")</f>
        <v xml:space="preserve">Land and Environment Research Group </v>
      </c>
    </row>
    <row r="187" spans="1:19" ht="22.5" hidden="1" customHeight="1">
      <c r="A187" s="19" t="s">
        <v>1021</v>
      </c>
      <c r="B187" s="19" t="s">
        <v>1005</v>
      </c>
      <c r="C187" s="19" t="s">
        <v>1022</v>
      </c>
      <c r="D187" s="20" t="s">
        <v>1023</v>
      </c>
      <c r="E187" s="20"/>
      <c r="F187" s="20" t="s">
        <v>232</v>
      </c>
      <c r="G187" s="19" t="s">
        <v>233</v>
      </c>
      <c r="H187" s="20" t="s">
        <v>211</v>
      </c>
      <c r="I187" s="20" t="s">
        <v>212</v>
      </c>
      <c r="J187" s="21">
        <v>45015000</v>
      </c>
      <c r="K187" s="22">
        <v>45658</v>
      </c>
      <c r="L187" s="22">
        <v>45961</v>
      </c>
      <c r="M187" s="20"/>
      <c r="N187" s="23" t="s">
        <v>2098</v>
      </c>
      <c r="O187" s="23" t="str">
        <f>IFERROR(VLOOKUP($G187,'DB2'!$A:$B,2,0),"공동과책 확인")</f>
        <v>Kim, Hojeong</v>
      </c>
      <c r="P187" s="23" t="s">
        <v>1906</v>
      </c>
      <c r="Q187" s="23" t="s">
        <v>1901</v>
      </c>
      <c r="R187" s="23" t="str">
        <f>IFERROR(VLOOKUP($I187,'DB2'!$F$2:$I$50,2,0),"옛날 부서명 확인")</f>
        <v xml:space="preserve">Water Management Division </v>
      </c>
      <c r="S187" s="23" t="str">
        <f>IFERROR(VLOOKUP($I187,'DB2'!$F$2:$I$50,4,0),"옛날 부서명 확인")</f>
        <v xml:space="preserve">Land and Environment Research Group </v>
      </c>
    </row>
    <row r="188" spans="1:19" ht="22.5" hidden="1" customHeight="1">
      <c r="A188" s="19" t="s">
        <v>1024</v>
      </c>
      <c r="B188" s="19" t="s">
        <v>1005</v>
      </c>
      <c r="C188" s="19" t="s">
        <v>1025</v>
      </c>
      <c r="D188" s="20" t="s">
        <v>1026</v>
      </c>
      <c r="E188" s="20"/>
      <c r="F188" s="20" t="s">
        <v>227</v>
      </c>
      <c r="G188" s="19" t="s">
        <v>228</v>
      </c>
      <c r="H188" s="20" t="s">
        <v>211</v>
      </c>
      <c r="I188" s="20" t="s">
        <v>212</v>
      </c>
      <c r="J188" s="21">
        <v>30000000</v>
      </c>
      <c r="K188" s="22">
        <v>45658</v>
      </c>
      <c r="L188" s="22">
        <v>46022</v>
      </c>
      <c r="M188" s="20"/>
      <c r="N188" s="23" t="s">
        <v>2099</v>
      </c>
      <c r="O188" s="23" t="str">
        <f>IFERROR(VLOOKUP($G188,'DB2'!$A:$B,2,0),"공동과책 확인")</f>
        <v>Han, Haejin</v>
      </c>
      <c r="P188" s="23" t="s">
        <v>1906</v>
      </c>
      <c r="Q188" s="23" t="s">
        <v>1910</v>
      </c>
      <c r="R188" s="23" t="str">
        <f>IFERROR(VLOOKUP($I188,'DB2'!$F$2:$I$50,2,0),"옛날 부서명 확인")</f>
        <v xml:space="preserve">Water Management Division </v>
      </c>
      <c r="S188" s="23" t="str">
        <f>IFERROR(VLOOKUP($I188,'DB2'!$F$2:$I$50,4,0),"옛날 부서명 확인")</f>
        <v xml:space="preserve">Land and Environment Research Group </v>
      </c>
    </row>
    <row r="189" spans="1:19" ht="22.5" hidden="1" customHeight="1">
      <c r="A189" s="19" t="s">
        <v>1027</v>
      </c>
      <c r="B189" s="19" t="s">
        <v>1005</v>
      </c>
      <c r="C189" s="19" t="s">
        <v>1028</v>
      </c>
      <c r="D189" s="20" t="s">
        <v>1029</v>
      </c>
      <c r="E189" s="20"/>
      <c r="F189" s="20" t="s">
        <v>516</v>
      </c>
      <c r="G189" s="19" t="s">
        <v>517</v>
      </c>
      <c r="H189" s="20" t="s">
        <v>518</v>
      </c>
      <c r="I189" s="20" t="s">
        <v>519</v>
      </c>
      <c r="J189" s="21">
        <v>45000000</v>
      </c>
      <c r="K189" s="22">
        <v>45658</v>
      </c>
      <c r="L189" s="22">
        <v>45961</v>
      </c>
      <c r="M189" s="20"/>
      <c r="N189" s="23" t="s">
        <v>2100</v>
      </c>
      <c r="O189" s="23" t="str">
        <f>IFERROR(VLOOKUP($G189,'DB2'!$A:$B,2,0),"공동과책 확인")</f>
        <v>Lee, Sangbum</v>
      </c>
      <c r="P189" s="23" t="s">
        <v>1907</v>
      </c>
      <c r="Q189" s="23" t="s">
        <v>1901</v>
      </c>
      <c r="R189" s="23" t="str">
        <f>IFERROR(VLOOKUP($I189,'DB2'!$F$2:$I$50,2,0),"옛날 부서명 확인")</f>
        <v xml:space="preserve">Environmental Assessment Group </v>
      </c>
      <c r="S189" s="23" t="str">
        <f>IFERROR(VLOOKUP($I189,'DB2'!$F$2:$I$50,4,0),"옛날 부서명 확인")</f>
        <v xml:space="preserve">Environmental Assessment Group </v>
      </c>
    </row>
    <row r="190" spans="1:19" ht="22.5" hidden="1" customHeight="1">
      <c r="A190" s="19" t="s">
        <v>1030</v>
      </c>
      <c r="B190" s="19" t="s">
        <v>1005</v>
      </c>
      <c r="C190" s="19" t="s">
        <v>1031</v>
      </c>
      <c r="D190" s="20" t="s">
        <v>1032</v>
      </c>
      <c r="E190" s="20"/>
      <c r="F190" s="20" t="s">
        <v>300</v>
      </c>
      <c r="G190" s="19" t="s">
        <v>301</v>
      </c>
      <c r="H190" s="20" t="s">
        <v>40</v>
      </c>
      <c r="I190" s="20" t="s">
        <v>41</v>
      </c>
      <c r="J190" s="21">
        <v>30000000</v>
      </c>
      <c r="K190" s="22">
        <v>45658</v>
      </c>
      <c r="L190" s="22">
        <v>46022</v>
      </c>
      <c r="M190" s="20"/>
      <c r="N190" s="23" t="s">
        <v>2101</v>
      </c>
      <c r="O190" s="23" t="str">
        <f>IFERROR(VLOOKUP($G190,'DB2'!$A:$B,2,0),"공동과책 확인")</f>
        <v>Chung, Woo Hyun</v>
      </c>
      <c r="P190" s="23" t="s">
        <v>1913</v>
      </c>
      <c r="Q190" s="23" t="s">
        <v>1911</v>
      </c>
      <c r="R190" s="23" t="str">
        <f>IFERROR(VLOOKUP($I190,'DB2'!$F$2:$I$50,2,0),"옛날 부서명 확인")</f>
        <v xml:space="preserve">Living Environment and Society Division </v>
      </c>
      <c r="S190" s="23" t="str">
        <f>IFERROR(VLOOKUP($I190,'DB2'!$F$2:$I$50,4,0),"옛날 부서명 확인")</f>
        <v xml:space="preserve">Sustainable Development Research Group  </v>
      </c>
    </row>
    <row r="191" spans="1:19" ht="22.5" hidden="1" customHeight="1">
      <c r="A191" s="19" t="s">
        <v>1033</v>
      </c>
      <c r="B191" s="19" t="s">
        <v>1005</v>
      </c>
      <c r="C191" s="19" t="s">
        <v>1034</v>
      </c>
      <c r="D191" s="20" t="s">
        <v>1035</v>
      </c>
      <c r="E191" s="20"/>
      <c r="F191" s="20" t="s">
        <v>238</v>
      </c>
      <c r="G191" s="19" t="s">
        <v>1036</v>
      </c>
      <c r="H191" s="20" t="s">
        <v>257</v>
      </c>
      <c r="I191" s="20" t="s">
        <v>156</v>
      </c>
      <c r="J191" s="21">
        <v>30000000</v>
      </c>
      <c r="K191" s="22">
        <v>45658</v>
      </c>
      <c r="L191" s="22">
        <v>45961</v>
      </c>
      <c r="M191" s="20"/>
      <c r="N191" s="23" t="s">
        <v>2102</v>
      </c>
      <c r="O191" s="23" t="str">
        <f>IFERROR(VLOOKUP($G191,'DB2'!$A:$B,2,0),"공동과책 확인")</f>
        <v>공동과책 확인</v>
      </c>
      <c r="P191" s="23" t="s">
        <v>1903</v>
      </c>
      <c r="Q191" s="23"/>
      <c r="R191" s="23" t="str">
        <f>IFERROR(VLOOKUP($I191,'DB2'!$F$2:$I$50,2,0),"옛날 부서명 확인")</f>
        <v xml:space="preserve">Environmental Health Division </v>
      </c>
      <c r="S191" s="23" t="str">
        <f>IFERROR(VLOOKUP($I191,'DB2'!$F$2:$I$50,4,0),"옛날 부서명 확인")</f>
        <v xml:space="preserve">Sustainable Development Research Group  </v>
      </c>
    </row>
    <row r="192" spans="1:19" ht="22.5" hidden="1" customHeight="1">
      <c r="A192" s="19" t="s">
        <v>1037</v>
      </c>
      <c r="B192" s="19" t="s">
        <v>1005</v>
      </c>
      <c r="C192" s="19" t="s">
        <v>1038</v>
      </c>
      <c r="D192" s="20" t="s">
        <v>1039</v>
      </c>
      <c r="E192" s="20"/>
      <c r="F192" s="20" t="s">
        <v>428</v>
      </c>
      <c r="G192" s="19" t="s">
        <v>429</v>
      </c>
      <c r="H192" s="20" t="s">
        <v>364</v>
      </c>
      <c r="I192" s="20" t="s">
        <v>204</v>
      </c>
      <c r="J192" s="21">
        <v>30000000</v>
      </c>
      <c r="K192" s="22">
        <v>45658</v>
      </c>
      <c r="L192" s="22">
        <v>45961</v>
      </c>
      <c r="M192" s="20"/>
      <c r="N192" s="23" t="s">
        <v>2103</v>
      </c>
      <c r="O192" s="23" t="str">
        <f>IFERROR(VLOOKUP($G192,'DB2'!$A:$B,2,0),"공동과책 확인")</f>
        <v>Lee, Seungmin</v>
      </c>
      <c r="P192" s="23" t="s">
        <v>1905</v>
      </c>
      <c r="Q192" s="23" t="s">
        <v>1913</v>
      </c>
      <c r="R192" s="23" t="str">
        <f>IFERROR(VLOOKUP($I192,'DB2'!$F$2:$I$50,2,0),"옛날 부서명 확인")</f>
        <v>Atmospheric Environment Division</v>
      </c>
      <c r="S192" s="23" t="str">
        <f>IFERROR(VLOOKUP($I192,'DB2'!$F$2:$I$50,4,0),"옛날 부서명 확인")</f>
        <v xml:space="preserve">Climate and Atmospheric Strategy Research Group  </v>
      </c>
    </row>
    <row r="193" spans="1:19" ht="22.5" hidden="1" customHeight="1">
      <c r="A193" s="19" t="s">
        <v>1040</v>
      </c>
      <c r="B193" s="19" t="s">
        <v>1005</v>
      </c>
      <c r="C193" s="19" t="s">
        <v>1041</v>
      </c>
      <c r="D193" s="20" t="s">
        <v>1042</v>
      </c>
      <c r="E193" s="20"/>
      <c r="F193" s="20" t="s">
        <v>96</v>
      </c>
      <c r="G193" s="19" t="s">
        <v>97</v>
      </c>
      <c r="H193" s="20" t="s">
        <v>211</v>
      </c>
      <c r="I193" s="20" t="s">
        <v>212</v>
      </c>
      <c r="J193" s="21">
        <v>30000000</v>
      </c>
      <c r="K193" s="22">
        <v>45658</v>
      </c>
      <c r="L193" s="22">
        <v>46022</v>
      </c>
      <c r="M193" s="20"/>
      <c r="N193" s="23" t="s">
        <v>2104</v>
      </c>
      <c r="O193" s="23" t="str">
        <f>IFERROR(VLOOKUP($G193,'DB2'!$A:$B,2,0),"공동과책 확인")</f>
        <v>Kim, Ikjae</v>
      </c>
      <c r="P193" s="23" t="s">
        <v>1906</v>
      </c>
      <c r="Q193" s="23" t="s">
        <v>1902</v>
      </c>
      <c r="R193" s="23" t="str">
        <f>IFERROR(VLOOKUP($I193,'DB2'!$F$2:$I$50,2,0),"옛날 부서명 확인")</f>
        <v xml:space="preserve">Water Management Division </v>
      </c>
      <c r="S193" s="23" t="str">
        <f>IFERROR(VLOOKUP($I193,'DB2'!$F$2:$I$50,4,0),"옛날 부서명 확인")</f>
        <v xml:space="preserve">Land and Environment Research Group </v>
      </c>
    </row>
    <row r="194" spans="1:19" ht="22.5" hidden="1" customHeight="1">
      <c r="A194" s="19" t="s">
        <v>1043</v>
      </c>
      <c r="B194" s="19" t="s">
        <v>1005</v>
      </c>
      <c r="C194" s="19" t="s">
        <v>1044</v>
      </c>
      <c r="D194" s="20" t="s">
        <v>1045</v>
      </c>
      <c r="E194" s="20"/>
      <c r="F194" s="20" t="s">
        <v>274</v>
      </c>
      <c r="G194" s="19" t="s">
        <v>275</v>
      </c>
      <c r="H194" s="20" t="s">
        <v>268</v>
      </c>
      <c r="I194" s="20" t="s">
        <v>269</v>
      </c>
      <c r="J194" s="21">
        <v>30000000</v>
      </c>
      <c r="K194" s="22">
        <v>45658</v>
      </c>
      <c r="L194" s="22">
        <v>45961</v>
      </c>
      <c r="M194" s="20"/>
      <c r="N194" s="23" t="s">
        <v>2105</v>
      </c>
      <c r="O194" s="23" t="str">
        <f>IFERROR(VLOOKUP($G194,'DB2'!$A:$B,2,0),"공동과책 확인")</f>
        <v xml:space="preserve">Yi, Sora </v>
      </c>
      <c r="P194" s="23" t="s">
        <v>1900</v>
      </c>
      <c r="Q194" s="23" t="s">
        <v>1910</v>
      </c>
      <c r="R194" s="23" t="str">
        <f>IFERROR(VLOOKUP($I194,'DB2'!$F$2:$I$50,2,0),"옛날 부서명 확인")</f>
        <v xml:space="preserve">Circular Economy Division </v>
      </c>
      <c r="S194" s="23" t="str">
        <f>IFERROR(VLOOKUP($I194,'DB2'!$F$2:$I$50,4,0),"옛날 부서명 확인")</f>
        <v xml:space="preserve">Sustainable Development Research Group  </v>
      </c>
    </row>
    <row r="195" spans="1:19" ht="22.5" hidden="1" customHeight="1">
      <c r="A195" s="19" t="s">
        <v>1046</v>
      </c>
      <c r="B195" s="19" t="s">
        <v>1005</v>
      </c>
      <c r="C195" s="19" t="s">
        <v>1047</v>
      </c>
      <c r="D195" s="20" t="s">
        <v>1048</v>
      </c>
      <c r="E195" s="20"/>
      <c r="F195" s="20" t="s">
        <v>362</v>
      </c>
      <c r="G195" s="19" t="s">
        <v>555</v>
      </c>
      <c r="H195" s="20" t="s">
        <v>364</v>
      </c>
      <c r="I195" s="20" t="s">
        <v>204</v>
      </c>
      <c r="J195" s="21">
        <v>30000000</v>
      </c>
      <c r="K195" s="22">
        <v>45658</v>
      </c>
      <c r="L195" s="22">
        <v>46022</v>
      </c>
      <c r="M195" s="20"/>
      <c r="N195" s="23" t="s">
        <v>2106</v>
      </c>
      <c r="O195" s="23" t="str">
        <f>IFERROR(VLOOKUP($G195,'DB2'!$A:$B,2,0),"공동과책 확인")</f>
        <v xml:space="preserve">Han, Jihyun </v>
      </c>
      <c r="P195" s="23" t="s">
        <v>1905</v>
      </c>
      <c r="Q195" s="23" t="s">
        <v>1904</v>
      </c>
      <c r="R195" s="23" t="str">
        <f>IFERROR(VLOOKUP($I195,'DB2'!$F$2:$I$50,2,0),"옛날 부서명 확인")</f>
        <v>Atmospheric Environment Division</v>
      </c>
      <c r="S195" s="23" t="str">
        <f>IFERROR(VLOOKUP($I195,'DB2'!$F$2:$I$50,4,0),"옛날 부서명 확인")</f>
        <v xml:space="preserve">Climate and Atmospheric Strategy Research Group  </v>
      </c>
    </row>
    <row r="196" spans="1:19" ht="22.5" hidden="1" customHeight="1">
      <c r="A196" s="19" t="s">
        <v>1049</v>
      </c>
      <c r="B196" s="19" t="s">
        <v>1005</v>
      </c>
      <c r="C196" s="19" t="s">
        <v>1050</v>
      </c>
      <c r="D196" s="20" t="s">
        <v>1051</v>
      </c>
      <c r="E196" s="20"/>
      <c r="F196" s="20" t="s">
        <v>153</v>
      </c>
      <c r="G196" s="19" t="s">
        <v>1052</v>
      </c>
      <c r="H196" s="20" t="s">
        <v>559</v>
      </c>
      <c r="I196" s="20" t="s">
        <v>560</v>
      </c>
      <c r="J196" s="21">
        <v>30000000</v>
      </c>
      <c r="K196" s="22">
        <v>45658</v>
      </c>
      <c r="L196" s="22">
        <v>45961</v>
      </c>
      <c r="M196" s="20"/>
      <c r="N196" s="23" t="s">
        <v>2107</v>
      </c>
      <c r="O196" s="23" t="str">
        <f>IFERROR(VLOOKUP($G196,'DB2'!$A:$B,2,0),"공동과책 확인")</f>
        <v>공동과책 확인</v>
      </c>
      <c r="P196" s="23" t="s">
        <v>1903</v>
      </c>
      <c r="Q196" s="23" t="s">
        <v>1908</v>
      </c>
      <c r="R196" s="23" t="str">
        <f>IFERROR(VLOOKUP($I196,'DB2'!$F$2:$I$50,2,0),"옛날 부서명 확인")</f>
        <v xml:space="preserve">Sustainable Development Research Group  </v>
      </c>
      <c r="S196" s="23" t="str">
        <f>IFERROR(VLOOKUP($I196,'DB2'!$F$2:$I$50,4,0),"옛날 부서명 확인")</f>
        <v xml:space="preserve">Sustainable Development Research Group  </v>
      </c>
    </row>
    <row r="197" spans="1:19" ht="22.5" hidden="1" customHeight="1">
      <c r="A197" s="19" t="s">
        <v>1053</v>
      </c>
      <c r="B197" s="19" t="s">
        <v>1005</v>
      </c>
      <c r="C197" s="19" t="s">
        <v>1054</v>
      </c>
      <c r="D197" s="20" t="s">
        <v>1055</v>
      </c>
      <c r="E197" s="20"/>
      <c r="F197" s="20" t="s">
        <v>516</v>
      </c>
      <c r="G197" s="19" t="s">
        <v>517</v>
      </c>
      <c r="H197" s="20" t="s">
        <v>518</v>
      </c>
      <c r="I197" s="20" t="s">
        <v>519</v>
      </c>
      <c r="J197" s="21">
        <v>80016000</v>
      </c>
      <c r="K197" s="22">
        <v>45658</v>
      </c>
      <c r="L197" s="22">
        <v>46022</v>
      </c>
      <c r="M197" s="20"/>
      <c r="N197" s="23" t="s">
        <v>2108</v>
      </c>
      <c r="O197" s="23" t="str">
        <f>IFERROR(VLOOKUP($G197,'DB2'!$A:$B,2,0),"공동과책 확인")</f>
        <v>Lee, Sangbum</v>
      </c>
      <c r="P197" s="23" t="s">
        <v>1907</v>
      </c>
      <c r="Q197" s="23" t="s">
        <v>1901</v>
      </c>
      <c r="R197" s="23" t="str">
        <f>IFERROR(VLOOKUP($I197,'DB2'!$F$2:$I$50,2,0),"옛날 부서명 확인")</f>
        <v xml:space="preserve">Environmental Assessment Group </v>
      </c>
      <c r="S197" s="23" t="str">
        <f>IFERROR(VLOOKUP($I197,'DB2'!$F$2:$I$50,4,0),"옛날 부서명 확인")</f>
        <v xml:space="preserve">Environmental Assessment Group </v>
      </c>
    </row>
    <row r="198" spans="1:19" ht="22.5" hidden="1" customHeight="1">
      <c r="A198" s="19" t="s">
        <v>1056</v>
      </c>
      <c r="B198" s="19" t="s">
        <v>1005</v>
      </c>
      <c r="C198" s="19" t="s">
        <v>1057</v>
      </c>
      <c r="D198" s="20" t="s">
        <v>1058</v>
      </c>
      <c r="E198" s="20"/>
      <c r="F198" s="20" t="s">
        <v>516</v>
      </c>
      <c r="G198" s="19" t="s">
        <v>517</v>
      </c>
      <c r="H198" s="20" t="s">
        <v>518</v>
      </c>
      <c r="I198" s="20" t="s">
        <v>519</v>
      </c>
      <c r="J198" s="21">
        <v>284629000</v>
      </c>
      <c r="K198" s="22">
        <v>45658</v>
      </c>
      <c r="L198" s="22">
        <v>46022</v>
      </c>
      <c r="M198" s="20"/>
      <c r="N198" s="23" t="s">
        <v>2109</v>
      </c>
      <c r="O198" s="23" t="str">
        <f>IFERROR(VLOOKUP($G198,'DB2'!$A:$B,2,0),"공동과책 확인")</f>
        <v>Lee, Sangbum</v>
      </c>
      <c r="P198" s="23" t="s">
        <v>1907</v>
      </c>
      <c r="Q198" s="23" t="s">
        <v>1901</v>
      </c>
      <c r="R198" s="23" t="str">
        <f>IFERROR(VLOOKUP($I198,'DB2'!$F$2:$I$50,2,0),"옛날 부서명 확인")</f>
        <v xml:space="preserve">Environmental Assessment Group </v>
      </c>
      <c r="S198" s="23" t="str">
        <f>IFERROR(VLOOKUP($I198,'DB2'!$F$2:$I$50,4,0),"옛날 부서명 확인")</f>
        <v xml:space="preserve">Environmental Assessment Group </v>
      </c>
    </row>
    <row r="199" spans="1:19" ht="22.5" hidden="1" customHeight="1">
      <c r="A199" s="19" t="s">
        <v>1059</v>
      </c>
      <c r="B199" s="19" t="s">
        <v>1005</v>
      </c>
      <c r="C199" s="19" t="s">
        <v>1060</v>
      </c>
      <c r="D199" s="20" t="s">
        <v>1061</v>
      </c>
      <c r="E199" s="20"/>
      <c r="F199" s="20" t="s">
        <v>128</v>
      </c>
      <c r="G199" s="19" t="s">
        <v>129</v>
      </c>
      <c r="H199" s="20" t="s">
        <v>455</v>
      </c>
      <c r="I199" s="20" t="s">
        <v>131</v>
      </c>
      <c r="J199" s="21">
        <v>300276000</v>
      </c>
      <c r="K199" s="22">
        <v>45658</v>
      </c>
      <c r="L199" s="22">
        <v>46022</v>
      </c>
      <c r="M199" s="20"/>
      <c r="N199" s="23" t="s">
        <v>2110</v>
      </c>
      <c r="O199" s="23" t="str">
        <f>IFERROR(VLOOKUP($G199,'DB2'!$A:$B,2,0),"공동과책 확인")</f>
        <v>Kim, Sungjin</v>
      </c>
      <c r="P199" s="23" t="s">
        <v>1913</v>
      </c>
      <c r="Q199" s="23" t="s">
        <v>1905</v>
      </c>
      <c r="R199" s="23" t="str">
        <f>IFERROR(VLOOKUP($I199,'DB2'!$F$2:$I$50,2,0),"옛날 부서명 확인")</f>
        <v xml:space="preserve">Carbon Neutrality Division </v>
      </c>
      <c r="S199" s="23" t="str">
        <f>IFERROR(VLOOKUP($I199,'DB2'!$F$2:$I$50,4,0),"옛날 부서명 확인")</f>
        <v xml:space="preserve">Climate and Atmospheric Strategy Research Group  </v>
      </c>
    </row>
    <row r="200" spans="1:19" ht="22.5" hidden="1" customHeight="1">
      <c r="A200" s="19" t="s">
        <v>1065</v>
      </c>
      <c r="B200" s="19" t="s">
        <v>986</v>
      </c>
      <c r="C200" s="19" t="s">
        <v>1066</v>
      </c>
      <c r="D200" s="20" t="s">
        <v>1067</v>
      </c>
      <c r="E200" s="20"/>
      <c r="F200" s="20" t="s">
        <v>1068</v>
      </c>
      <c r="G200" s="19" t="s">
        <v>1069</v>
      </c>
      <c r="H200" s="20" t="s">
        <v>1070</v>
      </c>
      <c r="I200" s="20" t="s">
        <v>1071</v>
      </c>
      <c r="J200" s="21">
        <v>100000000</v>
      </c>
      <c r="K200" s="22">
        <v>45778</v>
      </c>
      <c r="L200" s="22">
        <v>46142</v>
      </c>
      <c r="M200" s="20"/>
      <c r="N200" s="23" t="s">
        <v>2111</v>
      </c>
      <c r="O200" s="23" t="str">
        <f>IFERROR(VLOOKUP($G200,'DB2'!$A:$B,2,0),"공동과책 확인")</f>
        <v>Choi, Kwanghun</v>
      </c>
      <c r="P200" s="23" t="s">
        <v>1904</v>
      </c>
      <c r="Q200" s="23"/>
      <c r="R200" s="23" t="str">
        <f>IFERROR(VLOOKUP($I200,'DB2'!$F$2:$I$50,2,0),"옛날 부서명 확인")</f>
        <v xml:space="preserve">AI and Data Team </v>
      </c>
      <c r="S200" s="23" t="str">
        <f>IFERROR(VLOOKUP($I200,'DB2'!$F$2:$I$50,4,0),"옛날 부서명 확인")</f>
        <v xml:space="preserve">Department of Planning and Strategy </v>
      </c>
    </row>
    <row r="201" spans="1:19" ht="22.5" hidden="1" customHeight="1">
      <c r="A201" s="19" t="s">
        <v>1072</v>
      </c>
      <c r="B201" s="19" t="s">
        <v>986</v>
      </c>
      <c r="C201" s="19" t="s">
        <v>1073</v>
      </c>
      <c r="D201" s="20" t="s">
        <v>1074</v>
      </c>
      <c r="E201" s="20"/>
      <c r="F201" s="20" t="s">
        <v>924</v>
      </c>
      <c r="G201" s="19" t="s">
        <v>925</v>
      </c>
      <c r="H201" s="20" t="s">
        <v>907</v>
      </c>
      <c r="I201" s="20" t="s">
        <v>908</v>
      </c>
      <c r="J201" s="21">
        <v>100000000</v>
      </c>
      <c r="K201" s="22">
        <v>45778</v>
      </c>
      <c r="L201" s="22">
        <v>46142</v>
      </c>
      <c r="M201" s="20"/>
      <c r="N201" s="23" t="s">
        <v>2112</v>
      </c>
      <c r="O201" s="23" t="str">
        <f>IFERROR(VLOOKUP($G201,'DB2'!$A:$B,2,0),"공동과책 확인")</f>
        <v>Park, Jun Hyun</v>
      </c>
      <c r="P201" s="23" t="s">
        <v>1912</v>
      </c>
      <c r="Q201" s="23"/>
      <c r="R201" s="23" t="str">
        <f>IFERROR(VLOOKUP($I201,'DB2'!$F$2:$I$50,2,0),"옛날 부서명 확인")</f>
        <v>Global Cooperation Team</v>
      </c>
      <c r="S201" s="23" t="str">
        <f>IFERROR(VLOOKUP($I201,'DB2'!$F$2:$I$50,4,0),"옛날 부서명 확인")</f>
        <v xml:space="preserve">Department of Planning and Strategy </v>
      </c>
    </row>
    <row r="202" spans="1:19" ht="22.5" hidden="1" customHeight="1">
      <c r="A202" s="19" t="s">
        <v>1078</v>
      </c>
      <c r="B202" s="19" t="s">
        <v>986</v>
      </c>
      <c r="C202" s="19" t="s">
        <v>1079</v>
      </c>
      <c r="D202" s="20" t="s">
        <v>1080</v>
      </c>
      <c r="E202" s="20"/>
      <c r="F202" s="20" t="s">
        <v>167</v>
      </c>
      <c r="G202" s="19" t="s">
        <v>168</v>
      </c>
      <c r="H202" s="20" t="s">
        <v>1081</v>
      </c>
      <c r="I202" s="20" t="s">
        <v>642</v>
      </c>
      <c r="J202" s="21">
        <v>140000000</v>
      </c>
      <c r="K202" s="22">
        <v>45413</v>
      </c>
      <c r="L202" s="22">
        <v>45777</v>
      </c>
      <c r="M202" s="20"/>
      <c r="N202" s="23" t="s">
        <v>2113</v>
      </c>
      <c r="O202" s="23" t="str">
        <f>IFERROR(VLOOKUP($G202,'DB2'!$A:$B,2,0),"공동과책 확인")</f>
        <v>Park, Chang Sug</v>
      </c>
      <c r="P202" s="23" t="s">
        <v>1904</v>
      </c>
      <c r="Q202" s="23" t="s">
        <v>1909</v>
      </c>
      <c r="R202" s="23" t="str">
        <f>IFERROR(VLOOKUP($I202,'DB2'!$F$2:$I$50,2,0),"옛날 부서명 확인")</f>
        <v>Executive Office</v>
      </c>
      <c r="S202" s="23" t="str">
        <f>IFERROR(VLOOKUP($I202,'DB2'!$F$2:$I$50,4,0),"옛날 부서명 확인")</f>
        <v>Executive Office</v>
      </c>
    </row>
    <row r="203" spans="1:19" ht="22.5" hidden="1" customHeight="1">
      <c r="A203" s="19" t="s">
        <v>1082</v>
      </c>
      <c r="B203" s="19" t="s">
        <v>986</v>
      </c>
      <c r="C203" s="19" t="s">
        <v>1083</v>
      </c>
      <c r="D203" s="20" t="s">
        <v>1084</v>
      </c>
      <c r="E203" s="20"/>
      <c r="F203" s="20" t="s">
        <v>345</v>
      </c>
      <c r="G203" s="19" t="s">
        <v>346</v>
      </c>
      <c r="H203" s="20" t="s">
        <v>1085</v>
      </c>
      <c r="I203" s="20" t="s">
        <v>348</v>
      </c>
      <c r="J203" s="21">
        <v>140000000</v>
      </c>
      <c r="K203" s="22">
        <v>45383</v>
      </c>
      <c r="L203" s="22">
        <v>45808</v>
      </c>
      <c r="M203" s="20"/>
      <c r="N203" s="23" t="s">
        <v>2114</v>
      </c>
      <c r="O203" s="23" t="str">
        <f>IFERROR(VLOOKUP($G203,'DB2'!$A:$B,2,0),"공동과책 확인")</f>
        <v>Chang, Hoon</v>
      </c>
      <c r="P203" s="23" t="s">
        <v>1908</v>
      </c>
      <c r="Q203" s="23" t="s">
        <v>1913</v>
      </c>
      <c r="R203" s="23" t="str">
        <f>IFERROR(VLOOKUP($I203,'DB2'!$F$2:$I$50,2,0),"옛날 부서명 확인")</f>
        <v xml:space="preserve">Climate and Atmospheric Strategy Research Group  </v>
      </c>
      <c r="S203" s="23" t="str">
        <f>IFERROR(VLOOKUP($I203,'DB2'!$F$2:$I$50,4,0),"옛날 부서명 확인")</f>
        <v xml:space="preserve">Climate and Atmospheric Strategy Research Group  </v>
      </c>
    </row>
    <row r="204" spans="1:19" ht="22.5" hidden="1" customHeight="1">
      <c r="A204" s="19" t="s">
        <v>1086</v>
      </c>
      <c r="B204" s="19" t="s">
        <v>986</v>
      </c>
      <c r="C204" s="19" t="s">
        <v>1087</v>
      </c>
      <c r="D204" s="20" t="s">
        <v>1088</v>
      </c>
      <c r="E204" s="20"/>
      <c r="F204" s="20" t="s">
        <v>775</v>
      </c>
      <c r="G204" s="19" t="s">
        <v>776</v>
      </c>
      <c r="H204" s="20" t="s">
        <v>1089</v>
      </c>
      <c r="I204" s="20" t="s">
        <v>424</v>
      </c>
      <c r="J204" s="21">
        <v>140000000</v>
      </c>
      <c r="K204" s="22">
        <v>45383</v>
      </c>
      <c r="L204" s="22">
        <v>45747</v>
      </c>
      <c r="M204" s="20"/>
      <c r="N204" s="23" t="s">
        <v>2115</v>
      </c>
      <c r="O204" s="23" t="str">
        <f>IFERROR(VLOOKUP($G204,'DB2'!$A:$B,2,0),"공동과책 확인")</f>
        <v>Kim, Yumi</v>
      </c>
      <c r="P204" s="23" t="s">
        <v>1904</v>
      </c>
      <c r="Q204" s="23" t="s">
        <v>1907</v>
      </c>
      <c r="R204" s="23" t="str">
        <f>IFERROR(VLOOKUP($I204,'DB2'!$F$2:$I$50,2,0),"옛날 부서명 확인")</f>
        <v xml:space="preserve">Climate and Energy Assessment Division </v>
      </c>
      <c r="S204" s="23" t="str">
        <f>IFERROR(VLOOKUP($I204,'DB2'!$F$2:$I$50,4,0),"옛날 부서명 확인")</f>
        <v xml:space="preserve">Environmental Assessment Group </v>
      </c>
    </row>
    <row r="205" spans="1:19" ht="22.5" hidden="1" customHeight="1">
      <c r="A205" s="19" t="s">
        <v>1090</v>
      </c>
      <c r="B205" s="19" t="s">
        <v>986</v>
      </c>
      <c r="C205" s="19" t="s">
        <v>1091</v>
      </c>
      <c r="D205" s="20" t="s">
        <v>171</v>
      </c>
      <c r="E205" s="20"/>
      <c r="F205" s="20" t="s">
        <v>167</v>
      </c>
      <c r="G205" s="19" t="s">
        <v>168</v>
      </c>
      <c r="H205" s="20" t="s">
        <v>48</v>
      </c>
      <c r="I205" s="20" t="s">
        <v>642</v>
      </c>
      <c r="J205" s="21">
        <v>90000000</v>
      </c>
      <c r="K205" s="22">
        <v>45383</v>
      </c>
      <c r="L205" s="22">
        <v>45747</v>
      </c>
      <c r="M205" s="20"/>
      <c r="N205" s="23" t="s">
        <v>1937</v>
      </c>
      <c r="O205" s="23" t="str">
        <f>IFERROR(VLOOKUP($G205,'DB2'!$A:$B,2,0),"공동과책 확인")</f>
        <v>Park, Chang Sug</v>
      </c>
      <c r="P205" s="23" t="s">
        <v>1913</v>
      </c>
      <c r="Q205" s="23" t="s">
        <v>1901</v>
      </c>
      <c r="R205" s="23" t="str">
        <f>IFERROR(VLOOKUP($I205,'DB2'!$F$2:$I$50,2,0),"옛날 부서명 확인")</f>
        <v>Executive Office</v>
      </c>
      <c r="S205" s="23" t="str">
        <f>IFERROR(VLOOKUP($I205,'DB2'!$F$2:$I$50,4,0),"옛날 부서명 확인")</f>
        <v>Executive Office</v>
      </c>
    </row>
    <row r="206" spans="1:19" ht="22.5" hidden="1" customHeight="1">
      <c r="A206" s="19" t="s">
        <v>1092</v>
      </c>
      <c r="B206" s="19" t="s">
        <v>986</v>
      </c>
      <c r="C206" s="19" t="s">
        <v>1093</v>
      </c>
      <c r="D206" s="20" t="s">
        <v>1094</v>
      </c>
      <c r="E206" s="20"/>
      <c r="F206" s="20" t="s">
        <v>153</v>
      </c>
      <c r="G206" s="19" t="s">
        <v>154</v>
      </c>
      <c r="H206" s="20" t="s">
        <v>1095</v>
      </c>
      <c r="I206" s="20" t="s">
        <v>560</v>
      </c>
      <c r="J206" s="21">
        <v>140000000</v>
      </c>
      <c r="K206" s="22">
        <v>45413</v>
      </c>
      <c r="L206" s="22">
        <v>45777</v>
      </c>
      <c r="M206" s="20"/>
      <c r="N206" s="23" t="s">
        <v>2116</v>
      </c>
      <c r="O206" s="23" t="str">
        <f>IFERROR(VLOOKUP($G206,'DB2'!$A:$B,2,0),"공동과책 확인")</f>
        <v>Suh, Yang-won</v>
      </c>
      <c r="P206" s="23" t="s">
        <v>1913</v>
      </c>
      <c r="Q206" s="23" t="s">
        <v>1912</v>
      </c>
      <c r="R206" s="23" t="str">
        <f>IFERROR(VLOOKUP($I206,'DB2'!$F$2:$I$50,2,0),"옛날 부서명 확인")</f>
        <v xml:space="preserve">Sustainable Development Research Group  </v>
      </c>
      <c r="S206" s="23" t="str">
        <f>IFERROR(VLOOKUP($I206,'DB2'!$F$2:$I$50,4,0),"옛날 부서명 확인")</f>
        <v xml:space="preserve">Sustainable Development Research Group  </v>
      </c>
    </row>
    <row r="207" spans="1:19" ht="22.5" hidden="1" customHeight="1">
      <c r="A207" s="19" t="s">
        <v>1096</v>
      </c>
      <c r="B207" s="19" t="s">
        <v>986</v>
      </c>
      <c r="C207" s="19" t="s">
        <v>1097</v>
      </c>
      <c r="D207" s="20" t="s">
        <v>1098</v>
      </c>
      <c r="E207" s="20"/>
      <c r="F207" s="20" t="s">
        <v>187</v>
      </c>
      <c r="G207" s="19" t="s">
        <v>188</v>
      </c>
      <c r="H207" s="20" t="s">
        <v>98</v>
      </c>
      <c r="I207" s="20" t="s">
        <v>465</v>
      </c>
      <c r="J207" s="21">
        <v>140000000</v>
      </c>
      <c r="K207" s="22">
        <v>45413</v>
      </c>
      <c r="L207" s="22">
        <v>45777</v>
      </c>
      <c r="M207" s="20"/>
      <c r="N207" s="23" t="s">
        <v>2117</v>
      </c>
      <c r="O207" s="23" t="str">
        <f>IFERROR(VLOOKUP($G207,'DB2'!$A:$B,2,0),"공동과책 확인")</f>
        <v>Kang, Hyeongsik</v>
      </c>
      <c r="P207" s="23" t="s">
        <v>1906</v>
      </c>
      <c r="Q207" s="23" t="s">
        <v>1908</v>
      </c>
      <c r="R207" s="23" t="str">
        <f>IFERROR(VLOOKUP($I207,'DB2'!$F$2:$I$50,2,0),"옛날 부서명 확인")</f>
        <v xml:space="preserve">Land and Environment Research Group </v>
      </c>
      <c r="S207" s="23" t="str">
        <f>IFERROR(VLOOKUP($I207,'DB2'!$F$2:$I$50,4,0),"옛날 부서명 확인")</f>
        <v xml:space="preserve">Land and Environment Research Group </v>
      </c>
    </row>
    <row r="208" spans="1:19" ht="22.5" hidden="1" customHeight="1">
      <c r="A208" s="19" t="s">
        <v>1099</v>
      </c>
      <c r="B208" s="19" t="s">
        <v>986</v>
      </c>
      <c r="C208" s="19" t="s">
        <v>1100</v>
      </c>
      <c r="D208" s="20" t="s">
        <v>1101</v>
      </c>
      <c r="E208" s="20"/>
      <c r="F208" s="20" t="s">
        <v>1102</v>
      </c>
      <c r="G208" s="19" t="s">
        <v>918</v>
      </c>
      <c r="H208" s="20" t="s">
        <v>105</v>
      </c>
      <c r="I208" s="20" t="s">
        <v>353</v>
      </c>
      <c r="J208" s="21">
        <v>34702000</v>
      </c>
      <c r="K208" s="22">
        <v>45413</v>
      </c>
      <c r="L208" s="22">
        <v>45777</v>
      </c>
      <c r="M208" s="20"/>
      <c r="N208" s="23" t="s">
        <v>2118</v>
      </c>
      <c r="O208" s="23" t="str">
        <f>IFERROR(VLOOKUP($G208,'DB2'!$A:$B,2,0),"공동과책 확인")</f>
        <v xml:space="preserve">Park, Juyoung </v>
      </c>
      <c r="P208" s="23" t="s">
        <v>1910</v>
      </c>
      <c r="Q208" s="23" t="s">
        <v>1911</v>
      </c>
      <c r="R208" s="23" t="str">
        <f>IFERROR(VLOOKUP($I208,'DB2'!$F$2:$I$50,2,0),"옛날 부서명 확인")</f>
        <v xml:space="preserve">Green Economy Division </v>
      </c>
      <c r="S208" s="23" t="str">
        <f>IFERROR(VLOOKUP($I208,'DB2'!$F$2:$I$50,4,0),"옛날 부서명 확인")</f>
        <v xml:space="preserve">Climate and Atmospheric Strategy Research Group  </v>
      </c>
    </row>
    <row r="209" spans="1:19" ht="22.5" hidden="1" customHeight="1">
      <c r="A209" s="19" t="s">
        <v>1103</v>
      </c>
      <c r="B209" s="19" t="s">
        <v>986</v>
      </c>
      <c r="C209" s="19" t="s">
        <v>1104</v>
      </c>
      <c r="D209" s="20" t="s">
        <v>1105</v>
      </c>
      <c r="E209" s="20"/>
      <c r="F209" s="20" t="s">
        <v>621</v>
      </c>
      <c r="G209" s="19" t="s">
        <v>1106</v>
      </c>
      <c r="H209" s="20" t="s">
        <v>203</v>
      </c>
      <c r="I209" s="20" t="s">
        <v>204</v>
      </c>
      <c r="J209" s="21">
        <v>35000000</v>
      </c>
      <c r="K209" s="22">
        <v>45413</v>
      </c>
      <c r="L209" s="22">
        <v>45777</v>
      </c>
      <c r="M209" s="20"/>
      <c r="N209" s="23" t="s">
        <v>2119</v>
      </c>
      <c r="O209" s="23" t="str">
        <f>IFERROR(VLOOKUP($G209,'DB2'!$A:$B,2,0),"공동과책 확인")</f>
        <v>공동과책 확인</v>
      </c>
      <c r="P209" s="23" t="s">
        <v>1905</v>
      </c>
      <c r="Q209" s="23" t="s">
        <v>1913</v>
      </c>
      <c r="R209" s="23" t="str">
        <f>IFERROR(VLOOKUP($I209,'DB2'!$F$2:$I$50,2,0),"옛날 부서명 확인")</f>
        <v>Atmospheric Environment Division</v>
      </c>
      <c r="S209" s="23" t="str">
        <f>IFERROR(VLOOKUP($I209,'DB2'!$F$2:$I$50,4,0),"옛날 부서명 확인")</f>
        <v xml:space="preserve">Climate and Atmospheric Strategy Research Group  </v>
      </c>
    </row>
    <row r="210" spans="1:19" ht="22.5" hidden="1" customHeight="1">
      <c r="A210" s="19" t="s">
        <v>1107</v>
      </c>
      <c r="B210" s="19" t="s">
        <v>986</v>
      </c>
      <c r="C210" s="19" t="s">
        <v>1108</v>
      </c>
      <c r="D210" s="20" t="s">
        <v>1109</v>
      </c>
      <c r="E210" s="20"/>
      <c r="F210" s="20" t="s">
        <v>1110</v>
      </c>
      <c r="G210" s="19" t="s">
        <v>1111</v>
      </c>
      <c r="H210" s="20" t="s">
        <v>91</v>
      </c>
      <c r="I210" s="20" t="s">
        <v>509</v>
      </c>
      <c r="J210" s="21">
        <v>34036000</v>
      </c>
      <c r="K210" s="22">
        <v>45413</v>
      </c>
      <c r="L210" s="22">
        <v>45777</v>
      </c>
      <c r="M210" s="20"/>
      <c r="N210" s="23" t="s">
        <v>2120</v>
      </c>
      <c r="O210" s="23" t="str">
        <f>IFERROR(VLOOKUP($G210,'DB2'!$A:$B,2,0),"공동과책 확인")</f>
        <v>Lee, Jinhee</v>
      </c>
      <c r="P210" s="23" t="s">
        <v>1907</v>
      </c>
      <c r="Q210" s="23" t="s">
        <v>1906</v>
      </c>
      <c r="R210" s="23" t="str">
        <f>IFERROR(VLOOKUP($I210,'DB2'!$F$2:$I$50,2,0),"옛날 부서명 확인")</f>
        <v xml:space="preserve">Environmental Resources Assessment Division </v>
      </c>
      <c r="S210" s="23" t="str">
        <f>IFERROR(VLOOKUP($I210,'DB2'!$F$2:$I$50,4,0),"옛날 부서명 확인")</f>
        <v xml:space="preserve">Environmental Assessment Group </v>
      </c>
    </row>
    <row r="211" spans="1:19" ht="22.5" hidden="1" customHeight="1">
      <c r="A211" s="19" t="s">
        <v>1112</v>
      </c>
      <c r="B211" s="19" t="s">
        <v>986</v>
      </c>
      <c r="C211" s="19" t="s">
        <v>1113</v>
      </c>
      <c r="D211" s="20" t="s">
        <v>1114</v>
      </c>
      <c r="E211" s="20"/>
      <c r="F211" s="20" t="s">
        <v>1011</v>
      </c>
      <c r="G211" s="19" t="s">
        <v>1012</v>
      </c>
      <c r="H211" s="20" t="s">
        <v>105</v>
      </c>
      <c r="I211" s="20" t="s">
        <v>41</v>
      </c>
      <c r="J211" s="21">
        <v>50000000</v>
      </c>
      <c r="K211" s="22">
        <v>45413</v>
      </c>
      <c r="L211" s="22">
        <v>45777</v>
      </c>
      <c r="M211" s="20"/>
      <c r="N211" s="23" t="s">
        <v>2121</v>
      </c>
      <c r="O211" s="23" t="str">
        <f>IFERROR(VLOOKUP($G211,'DB2'!$A:$B,2,0),"공동과책 확인")</f>
        <v>Lee, Jae-hyuck</v>
      </c>
      <c r="P211" s="23" t="s">
        <v>1913</v>
      </c>
      <c r="Q211" s="23" t="s">
        <v>1912</v>
      </c>
      <c r="R211" s="23" t="str">
        <f>IFERROR(VLOOKUP($I211,'DB2'!$F$2:$I$50,2,0),"옛날 부서명 확인")</f>
        <v xml:space="preserve">Living Environment and Society Division </v>
      </c>
      <c r="S211" s="23" t="str">
        <f>IFERROR(VLOOKUP($I211,'DB2'!$F$2:$I$50,4,0),"옛날 부서명 확인")</f>
        <v xml:space="preserve">Sustainable Development Research Group  </v>
      </c>
    </row>
    <row r="212" spans="1:19" ht="22.5" hidden="1" customHeight="1">
      <c r="A212" s="19" t="s">
        <v>1115</v>
      </c>
      <c r="B212" s="19" t="s">
        <v>986</v>
      </c>
      <c r="C212" s="19" t="s">
        <v>1116</v>
      </c>
      <c r="D212" s="20" t="s">
        <v>1117</v>
      </c>
      <c r="E212" s="20"/>
      <c r="F212" s="20" t="s">
        <v>1019</v>
      </c>
      <c r="G212" s="19" t="s">
        <v>1020</v>
      </c>
      <c r="H212" s="20" t="s">
        <v>48</v>
      </c>
      <c r="I212" s="20" t="s">
        <v>222</v>
      </c>
      <c r="J212" s="21">
        <v>50000000</v>
      </c>
      <c r="K212" s="22">
        <v>45413</v>
      </c>
      <c r="L212" s="22">
        <v>45777</v>
      </c>
      <c r="M212" s="20"/>
      <c r="N212" s="23" t="s">
        <v>2122</v>
      </c>
      <c r="O212" s="23" t="str">
        <f>IFERROR(VLOOKUP($G212,'DB2'!$A:$B,2,0),"공동과책 확인")</f>
        <v xml:space="preserve">Kim, Taehyun </v>
      </c>
      <c r="P212" s="23" t="s">
        <v>1901</v>
      </c>
      <c r="Q212" s="23" t="s">
        <v>1913</v>
      </c>
      <c r="R212" s="23" t="str">
        <f>IFERROR(VLOOKUP($I212,'DB2'!$F$2:$I$50,2,0),"옛날 부서명 확인")</f>
        <v>Spatial Planning and Management Division</v>
      </c>
      <c r="S212" s="23" t="str">
        <f>IFERROR(VLOOKUP($I212,'DB2'!$F$2:$I$50,4,0),"옛날 부서명 확인")</f>
        <v xml:space="preserve">Land and Environment Research Group </v>
      </c>
    </row>
    <row r="213" spans="1:19" ht="22.5" hidden="1" customHeight="1">
      <c r="A213" s="19" t="s">
        <v>1118</v>
      </c>
      <c r="B213" s="19" t="s">
        <v>986</v>
      </c>
      <c r="C213" s="19" t="s">
        <v>1119</v>
      </c>
      <c r="D213" s="20" t="s">
        <v>1120</v>
      </c>
      <c r="E213" s="20"/>
      <c r="F213" s="20" t="s">
        <v>1121</v>
      </c>
      <c r="G213" s="19" t="s">
        <v>1122</v>
      </c>
      <c r="H213" s="20" t="s">
        <v>847</v>
      </c>
      <c r="I213" s="20" t="s">
        <v>1071</v>
      </c>
      <c r="J213" s="21">
        <v>120000000</v>
      </c>
      <c r="K213" s="22">
        <v>45413</v>
      </c>
      <c r="L213" s="22">
        <v>45777</v>
      </c>
      <c r="M213" s="20"/>
      <c r="N213" s="23" t="s">
        <v>2123</v>
      </c>
      <c r="O213" s="23" t="str">
        <f>IFERROR(VLOOKUP($G213,'DB2'!$A:$B,2,0),"공동과책 확인")</f>
        <v>Jin, Daeyong</v>
      </c>
      <c r="P213" s="23" t="s">
        <v>1904</v>
      </c>
      <c r="Q213" s="23"/>
      <c r="R213" s="23" t="str">
        <f>IFERROR(VLOOKUP($I213,'DB2'!$F$2:$I$50,2,0),"옛날 부서명 확인")</f>
        <v xml:space="preserve">AI and Data Team </v>
      </c>
      <c r="S213" s="23" t="str">
        <f>IFERROR(VLOOKUP($I213,'DB2'!$F$2:$I$50,4,0),"옛날 부서명 확인")</f>
        <v xml:space="preserve">Department of Planning and Strategy </v>
      </c>
    </row>
    <row r="214" spans="1:19" ht="22.5" hidden="1" customHeight="1">
      <c r="A214" s="19" t="s">
        <v>1123</v>
      </c>
      <c r="B214" s="19" t="s">
        <v>986</v>
      </c>
      <c r="C214" s="19" t="s">
        <v>1124</v>
      </c>
      <c r="D214" s="20" t="s">
        <v>1125</v>
      </c>
      <c r="E214" s="20"/>
      <c r="F214" s="20" t="s">
        <v>924</v>
      </c>
      <c r="G214" s="19" t="s">
        <v>925</v>
      </c>
      <c r="H214" s="20" t="s">
        <v>1126</v>
      </c>
      <c r="I214" s="20" t="s">
        <v>908</v>
      </c>
      <c r="J214" s="21">
        <v>212762000</v>
      </c>
      <c r="K214" s="22">
        <v>45413</v>
      </c>
      <c r="L214" s="22">
        <v>45838</v>
      </c>
      <c r="M214" s="20"/>
      <c r="N214" s="23" t="s">
        <v>2124</v>
      </c>
      <c r="O214" s="23" t="str">
        <f>IFERROR(VLOOKUP($G214,'DB2'!$A:$B,2,0),"공동과책 확인")</f>
        <v>Park, Jun Hyun</v>
      </c>
      <c r="P214" s="23" t="s">
        <v>1912</v>
      </c>
      <c r="Q214" s="23"/>
      <c r="R214" s="23" t="str">
        <f>IFERROR(VLOOKUP($I214,'DB2'!$F$2:$I$50,2,0),"옛날 부서명 확인")</f>
        <v>Global Cooperation Team</v>
      </c>
      <c r="S214" s="23" t="str">
        <f>IFERROR(VLOOKUP($I214,'DB2'!$F$2:$I$50,4,0),"옛날 부서명 확인")</f>
        <v xml:space="preserve">Department of Planning and Strategy </v>
      </c>
    </row>
    <row r="215" spans="1:19" ht="22.5" hidden="1" customHeight="1">
      <c r="A215" s="19" t="s">
        <v>1130</v>
      </c>
      <c r="B215" s="19" t="s">
        <v>986</v>
      </c>
      <c r="C215" s="19" t="s">
        <v>1131</v>
      </c>
      <c r="D215" s="20" t="s">
        <v>1132</v>
      </c>
      <c r="E215" s="20"/>
      <c r="F215" s="20" t="s">
        <v>287</v>
      </c>
      <c r="G215" s="19" t="s">
        <v>288</v>
      </c>
      <c r="H215" s="20" t="s">
        <v>211</v>
      </c>
      <c r="I215" s="20" t="s">
        <v>212</v>
      </c>
      <c r="J215" s="21">
        <v>15000000</v>
      </c>
      <c r="K215" s="22">
        <v>45748</v>
      </c>
      <c r="L215" s="22">
        <v>45930</v>
      </c>
      <c r="M215" s="20"/>
      <c r="N215" s="23" t="s">
        <v>2125</v>
      </c>
      <c r="O215" s="23" t="str">
        <f>IFERROR(VLOOKUP($G215,'DB2'!$A:$B,2,0),"공동과책 확인")</f>
        <v>Jeon, Dongjin</v>
      </c>
      <c r="P215" s="23" t="s">
        <v>1906</v>
      </c>
      <c r="Q215" s="23" t="s">
        <v>1908</v>
      </c>
      <c r="R215" s="23" t="str">
        <f>IFERROR(VLOOKUP($I215,'DB2'!$F$2:$I$50,2,0),"옛날 부서명 확인")</f>
        <v xml:space="preserve">Water Management Division </v>
      </c>
      <c r="S215" s="23" t="str">
        <f>IFERROR(VLOOKUP($I215,'DB2'!$F$2:$I$50,4,0),"옛날 부서명 확인")</f>
        <v xml:space="preserve">Land and Environment Research Group </v>
      </c>
    </row>
    <row r="216" spans="1:19" ht="22.5" hidden="1" customHeight="1">
      <c r="A216" s="19" t="s">
        <v>1133</v>
      </c>
      <c r="B216" s="19" t="s">
        <v>986</v>
      </c>
      <c r="C216" s="19" t="s">
        <v>1134</v>
      </c>
      <c r="D216" s="20" t="s">
        <v>1135</v>
      </c>
      <c r="E216" s="20"/>
      <c r="F216" s="20" t="s">
        <v>714</v>
      </c>
      <c r="G216" s="19" t="s">
        <v>715</v>
      </c>
      <c r="H216" s="20" t="s">
        <v>268</v>
      </c>
      <c r="I216" s="20" t="s">
        <v>269</v>
      </c>
      <c r="J216" s="21">
        <v>15000000</v>
      </c>
      <c r="K216" s="22">
        <v>45748</v>
      </c>
      <c r="L216" s="22">
        <v>45930</v>
      </c>
      <c r="M216" s="20"/>
      <c r="N216" s="23" t="s">
        <v>2126</v>
      </c>
      <c r="O216" s="23" t="str">
        <f>IFERROR(VLOOKUP($G216,'DB2'!$A:$B,2,0),"공동과책 확인")</f>
        <v xml:space="preserve">Ju, Munsol </v>
      </c>
      <c r="P216" s="23" t="s">
        <v>1900</v>
      </c>
      <c r="Q216" s="23" t="s">
        <v>1910</v>
      </c>
      <c r="R216" s="23" t="str">
        <f>IFERROR(VLOOKUP($I216,'DB2'!$F$2:$I$50,2,0),"옛날 부서명 확인")</f>
        <v xml:space="preserve">Circular Economy Division </v>
      </c>
      <c r="S216" s="23" t="str">
        <f>IFERROR(VLOOKUP($I216,'DB2'!$F$2:$I$50,4,0),"옛날 부서명 확인")</f>
        <v xml:space="preserve">Sustainable Development Research Group  </v>
      </c>
    </row>
    <row r="217" spans="1:19" ht="22.5" hidden="1" customHeight="1">
      <c r="A217" s="19" t="s">
        <v>1136</v>
      </c>
      <c r="B217" s="19" t="s">
        <v>986</v>
      </c>
      <c r="C217" s="19" t="s">
        <v>1137</v>
      </c>
      <c r="D217" s="20" t="s">
        <v>1138</v>
      </c>
      <c r="E217" s="20"/>
      <c r="F217" s="20" t="s">
        <v>698</v>
      </c>
      <c r="G217" s="19" t="s">
        <v>699</v>
      </c>
      <c r="H217" s="20" t="s">
        <v>211</v>
      </c>
      <c r="I217" s="20" t="s">
        <v>212</v>
      </c>
      <c r="J217" s="21">
        <v>15000000</v>
      </c>
      <c r="K217" s="22">
        <v>45748</v>
      </c>
      <c r="L217" s="22">
        <v>45930</v>
      </c>
      <c r="M217" s="20"/>
      <c r="N217" s="23" t="s">
        <v>2127</v>
      </c>
      <c r="O217" s="23" t="str">
        <f>IFERROR(VLOOKUP($G217,'DB2'!$A:$B,2,0),"공동과책 확인")</f>
        <v>Hyun, Yunjung</v>
      </c>
      <c r="P217" s="23" t="s">
        <v>1906</v>
      </c>
      <c r="Q217" s="23" t="s">
        <v>1901</v>
      </c>
      <c r="R217" s="23" t="str">
        <f>IFERROR(VLOOKUP($I217,'DB2'!$F$2:$I$50,2,0),"옛날 부서명 확인")</f>
        <v xml:space="preserve">Water Management Division </v>
      </c>
      <c r="S217" s="23" t="str">
        <f>IFERROR(VLOOKUP($I217,'DB2'!$F$2:$I$50,4,0),"옛날 부서명 확인")</f>
        <v xml:space="preserve">Land and Environment Research Group </v>
      </c>
    </row>
    <row r="218" spans="1:19" ht="22.5" hidden="1" customHeight="1">
      <c r="A218" s="19" t="s">
        <v>1139</v>
      </c>
      <c r="B218" s="19" t="s">
        <v>986</v>
      </c>
      <c r="C218" s="19" t="s">
        <v>1140</v>
      </c>
      <c r="D218" s="20" t="s">
        <v>1141</v>
      </c>
      <c r="E218" s="20"/>
      <c r="F218" s="20" t="s">
        <v>621</v>
      </c>
      <c r="G218" s="19" t="s">
        <v>622</v>
      </c>
      <c r="H218" s="20" t="s">
        <v>364</v>
      </c>
      <c r="I218" s="20" t="s">
        <v>204</v>
      </c>
      <c r="J218" s="21">
        <v>15000000</v>
      </c>
      <c r="K218" s="22">
        <v>45748</v>
      </c>
      <c r="L218" s="22">
        <v>45930</v>
      </c>
      <c r="M218" s="20"/>
      <c r="N218" s="23" t="s">
        <v>2128</v>
      </c>
      <c r="O218" s="23" t="str">
        <f>IFERROR(VLOOKUP($G218,'DB2'!$A:$B,2,0),"공동과책 확인")</f>
        <v>Choi, Ki-Chul</v>
      </c>
      <c r="P218" s="23" t="s">
        <v>1905</v>
      </c>
      <c r="Q218" s="23" t="s">
        <v>1903</v>
      </c>
      <c r="R218" s="23" t="str">
        <f>IFERROR(VLOOKUP($I218,'DB2'!$F$2:$I$50,2,0),"옛날 부서명 확인")</f>
        <v>Atmospheric Environment Division</v>
      </c>
      <c r="S218" s="23" t="str">
        <f>IFERROR(VLOOKUP($I218,'DB2'!$F$2:$I$50,4,0),"옛날 부서명 확인")</f>
        <v xml:space="preserve">Climate and Atmospheric Strategy Research Group  </v>
      </c>
    </row>
    <row r="219" spans="1:19" ht="22.5" hidden="1" customHeight="1">
      <c r="A219" s="19" t="s">
        <v>1142</v>
      </c>
      <c r="B219" s="19" t="s">
        <v>986</v>
      </c>
      <c r="C219" s="19" t="s">
        <v>1143</v>
      </c>
      <c r="D219" s="20" t="s">
        <v>1144</v>
      </c>
      <c r="E219" s="20"/>
      <c r="F219" s="20" t="s">
        <v>823</v>
      </c>
      <c r="G219" s="19" t="s">
        <v>824</v>
      </c>
      <c r="H219" s="20" t="s">
        <v>423</v>
      </c>
      <c r="I219" s="20" t="s">
        <v>424</v>
      </c>
      <c r="J219" s="21">
        <v>15000000</v>
      </c>
      <c r="K219" s="22">
        <v>45778</v>
      </c>
      <c r="L219" s="22">
        <v>45961</v>
      </c>
      <c r="M219" s="20"/>
      <c r="N219" s="23" t="s">
        <v>2129</v>
      </c>
      <c r="O219" s="23" t="str">
        <f>IFERROR(VLOOKUP($G219,'DB2'!$A:$B,2,0),"공동과책 확인")</f>
        <v xml:space="preserve">Heo, Namjoo </v>
      </c>
      <c r="P219" s="23" t="s">
        <v>1907</v>
      </c>
      <c r="Q219" s="23" t="s">
        <v>1902</v>
      </c>
      <c r="R219" s="23" t="str">
        <f>IFERROR(VLOOKUP($I219,'DB2'!$F$2:$I$50,2,0),"옛날 부서명 확인")</f>
        <v xml:space="preserve">Climate and Energy Assessment Division </v>
      </c>
      <c r="S219" s="23" t="str">
        <f>IFERROR(VLOOKUP($I219,'DB2'!$F$2:$I$50,4,0),"옛날 부서명 확인")</f>
        <v xml:space="preserve">Environmental Assessment Group </v>
      </c>
    </row>
    <row r="220" spans="1:19" ht="22.5" hidden="1" customHeight="1">
      <c r="A220" s="19" t="s">
        <v>1145</v>
      </c>
      <c r="B220" s="19" t="s">
        <v>986</v>
      </c>
      <c r="C220" s="19" t="s">
        <v>1146</v>
      </c>
      <c r="D220" s="20" t="s">
        <v>1147</v>
      </c>
      <c r="E220" s="20"/>
      <c r="F220" s="20" t="s">
        <v>122</v>
      </c>
      <c r="G220" s="19" t="s">
        <v>123</v>
      </c>
      <c r="H220" s="20" t="s">
        <v>268</v>
      </c>
      <c r="I220" s="20" t="s">
        <v>269</v>
      </c>
      <c r="J220" s="21">
        <v>105000000</v>
      </c>
      <c r="K220" s="22">
        <v>45778</v>
      </c>
      <c r="L220" s="22">
        <v>46142</v>
      </c>
      <c r="M220" s="20"/>
      <c r="N220" s="23" t="s">
        <v>2130</v>
      </c>
      <c r="O220" s="23" t="str">
        <f>IFERROR(VLOOKUP($G220,'DB2'!$A:$B,2,0),"공동과책 확인")</f>
        <v>Kim, Jongho</v>
      </c>
      <c r="P220" s="23" t="s">
        <v>1904</v>
      </c>
      <c r="Q220" s="23" t="s">
        <v>1911</v>
      </c>
      <c r="R220" s="23" t="str">
        <f>IFERROR(VLOOKUP($I220,'DB2'!$F$2:$I$50,2,0),"옛날 부서명 확인")</f>
        <v xml:space="preserve">Circular Economy Division </v>
      </c>
      <c r="S220" s="23" t="str">
        <f>IFERROR(VLOOKUP($I220,'DB2'!$F$2:$I$50,4,0),"옛날 부서명 확인")</f>
        <v xml:space="preserve">Sustainable Development Research Group  </v>
      </c>
    </row>
    <row r="221" spans="1:19" ht="22.5" hidden="1" customHeight="1">
      <c r="A221" s="19" t="s">
        <v>1148</v>
      </c>
      <c r="B221" s="19" t="s">
        <v>986</v>
      </c>
      <c r="C221" s="19" t="s">
        <v>1149</v>
      </c>
      <c r="D221" s="20" t="s">
        <v>1150</v>
      </c>
      <c r="E221" s="20"/>
      <c r="F221" s="20" t="s">
        <v>1151</v>
      </c>
      <c r="G221" s="19" t="s">
        <v>1152</v>
      </c>
      <c r="H221" s="20" t="s">
        <v>316</v>
      </c>
      <c r="I221" s="20" t="s">
        <v>317</v>
      </c>
      <c r="J221" s="21">
        <v>50000000</v>
      </c>
      <c r="K221" s="22">
        <v>45778</v>
      </c>
      <c r="L221" s="22">
        <v>46142</v>
      </c>
      <c r="M221" s="20"/>
      <c r="N221" s="23" t="s">
        <v>2131</v>
      </c>
      <c r="O221" s="23" t="str">
        <f>IFERROR(VLOOKUP($G221,'DB2'!$A:$B,2,0),"공동과책 확인")</f>
        <v xml:space="preserve">Kim, Hyun-gyu </v>
      </c>
      <c r="P221" s="23" t="s">
        <v>1910</v>
      </c>
      <c r="Q221" s="23" t="s">
        <v>1913</v>
      </c>
      <c r="R221" s="23" t="str">
        <f>IFERROR(VLOOKUP($I221,'DB2'!$F$2:$I$50,2,0),"옛날 부서명 확인")</f>
        <v xml:space="preserve">Climate Adaptation Policy Division </v>
      </c>
      <c r="S221" s="23" t="str">
        <f>IFERROR(VLOOKUP($I221,'DB2'!$F$2:$I$50,4,0),"옛날 부서명 확인")</f>
        <v xml:space="preserve">Korea Adaptation Center for Climate Change </v>
      </c>
    </row>
    <row r="222" spans="1:19" ht="22.5" hidden="1" customHeight="1">
      <c r="A222" s="19" t="s">
        <v>1153</v>
      </c>
      <c r="B222" s="19" t="s">
        <v>986</v>
      </c>
      <c r="C222" s="19" t="s">
        <v>1154</v>
      </c>
      <c r="D222" s="20" t="s">
        <v>1155</v>
      </c>
      <c r="E222" s="20"/>
      <c r="F222" s="20" t="s">
        <v>501</v>
      </c>
      <c r="G222" s="19" t="s">
        <v>502</v>
      </c>
      <c r="H222" s="20" t="s">
        <v>316</v>
      </c>
      <c r="I222" s="20" t="s">
        <v>317</v>
      </c>
      <c r="J222" s="21">
        <v>50000000</v>
      </c>
      <c r="K222" s="22">
        <v>45778</v>
      </c>
      <c r="L222" s="22">
        <v>46142</v>
      </c>
      <c r="M222" s="20"/>
      <c r="N222" s="23" t="s">
        <v>2132</v>
      </c>
      <c r="O222" s="23" t="str">
        <f>IFERROR(VLOOKUP($G222,'DB2'!$A:$B,2,0),"공동과책 확인")</f>
        <v xml:space="preserve">Song, Jiyoon </v>
      </c>
      <c r="P222" s="23" t="s">
        <v>1901</v>
      </c>
      <c r="Q222" s="23" t="s">
        <v>1913</v>
      </c>
      <c r="R222" s="23" t="str">
        <f>IFERROR(VLOOKUP($I222,'DB2'!$F$2:$I$50,2,0),"옛날 부서명 확인")</f>
        <v xml:space="preserve">Climate Adaptation Policy Division </v>
      </c>
      <c r="S222" s="23" t="str">
        <f>IFERROR(VLOOKUP($I222,'DB2'!$F$2:$I$50,4,0),"옛날 부서명 확인")</f>
        <v xml:space="preserve">Korea Adaptation Center for Climate Change </v>
      </c>
    </row>
    <row r="223" spans="1:19" ht="22.5" hidden="1" customHeight="1">
      <c r="A223" s="19" t="s">
        <v>1156</v>
      </c>
      <c r="B223" s="19" t="s">
        <v>986</v>
      </c>
      <c r="C223" s="19" t="s">
        <v>1157</v>
      </c>
      <c r="D223" s="20" t="s">
        <v>1158</v>
      </c>
      <c r="E223" s="20"/>
      <c r="F223" s="20" t="s">
        <v>1159</v>
      </c>
      <c r="G223" s="19" t="s">
        <v>1160</v>
      </c>
      <c r="H223" s="20" t="s">
        <v>508</v>
      </c>
      <c r="I223" s="20" t="s">
        <v>509</v>
      </c>
      <c r="J223" s="21">
        <v>40000000</v>
      </c>
      <c r="K223" s="22">
        <v>45778</v>
      </c>
      <c r="L223" s="22">
        <v>46142</v>
      </c>
      <c r="M223" s="20"/>
      <c r="N223" s="23" t="s">
        <v>2133</v>
      </c>
      <c r="O223" s="23" t="str">
        <f>IFERROR(VLOOKUP($G223,'DB2'!$A:$B,2,0),"공동과책 확인")</f>
        <v xml:space="preserve">Rhee, Youngjoon </v>
      </c>
      <c r="P223" s="23" t="s">
        <v>1906</v>
      </c>
      <c r="Q223" s="23" t="s">
        <v>1907</v>
      </c>
      <c r="R223" s="23" t="str">
        <f>IFERROR(VLOOKUP($I223,'DB2'!$F$2:$I$50,2,0),"옛날 부서명 확인")</f>
        <v xml:space="preserve">Environmental Resources Assessment Division </v>
      </c>
      <c r="S223" s="23" t="str">
        <f>IFERROR(VLOOKUP($I223,'DB2'!$F$2:$I$50,4,0),"옛날 부서명 확인")</f>
        <v xml:space="preserve">Environmental Assessment Group </v>
      </c>
    </row>
    <row r="224" spans="1:19" ht="22.5" hidden="1" customHeight="1">
      <c r="A224" s="19" t="s">
        <v>1161</v>
      </c>
      <c r="B224" s="19" t="s">
        <v>986</v>
      </c>
      <c r="C224" s="19" t="s">
        <v>1162</v>
      </c>
      <c r="D224" s="20" t="s">
        <v>1163</v>
      </c>
      <c r="E224" s="20"/>
      <c r="F224" s="20" t="s">
        <v>369</v>
      </c>
      <c r="G224" s="19" t="s">
        <v>370</v>
      </c>
      <c r="H224" s="20" t="s">
        <v>33</v>
      </c>
      <c r="I224" s="20" t="s">
        <v>642</v>
      </c>
      <c r="J224" s="21">
        <v>40000000</v>
      </c>
      <c r="K224" s="22">
        <v>45778</v>
      </c>
      <c r="L224" s="22">
        <v>46142</v>
      </c>
      <c r="M224" s="20"/>
      <c r="N224" s="23" t="s">
        <v>2134</v>
      </c>
      <c r="O224" s="23" t="str">
        <f>IFERROR(VLOOKUP($G224,'DB2'!$A:$B,2,0),"공동과책 확인")</f>
        <v>Kim, Choong-ki</v>
      </c>
      <c r="P224" s="23" t="s">
        <v>1909</v>
      </c>
      <c r="Q224" s="23" t="s">
        <v>1901</v>
      </c>
      <c r="R224" s="23" t="str">
        <f>IFERROR(VLOOKUP($I224,'DB2'!$F$2:$I$50,2,0),"옛날 부서명 확인")</f>
        <v>Executive Office</v>
      </c>
      <c r="S224" s="23" t="str">
        <f>IFERROR(VLOOKUP($I224,'DB2'!$F$2:$I$50,4,0),"옛날 부서명 확인")</f>
        <v>Executive Office</v>
      </c>
    </row>
    <row r="225" spans="1:19" ht="22.5" hidden="1" customHeight="1">
      <c r="A225" s="19" t="s">
        <v>1182</v>
      </c>
      <c r="B225" s="19" t="s">
        <v>1172</v>
      </c>
      <c r="C225" s="19" t="s">
        <v>1183</v>
      </c>
      <c r="D225" s="20" t="s">
        <v>1184</v>
      </c>
      <c r="E225" s="20"/>
      <c r="F225" s="20" t="s">
        <v>924</v>
      </c>
      <c r="G225" s="19" t="s">
        <v>925</v>
      </c>
      <c r="H225" s="20" t="s">
        <v>907</v>
      </c>
      <c r="I225" s="20" t="s">
        <v>908</v>
      </c>
      <c r="J225" s="21">
        <v>98568000</v>
      </c>
      <c r="K225" s="22">
        <v>45658</v>
      </c>
      <c r="L225" s="22">
        <v>46022</v>
      </c>
      <c r="M225" s="20"/>
      <c r="N225" s="23" t="s">
        <v>2135</v>
      </c>
      <c r="O225" s="23" t="str">
        <f>IFERROR(VLOOKUP($G225,'DB2'!$A:$B,2,0),"공동과책 확인")</f>
        <v>Park, Jun Hyun</v>
      </c>
      <c r="P225" s="23" t="s">
        <v>1912</v>
      </c>
      <c r="Q225" s="23"/>
      <c r="R225" s="23" t="str">
        <f>IFERROR(VLOOKUP($I225,'DB2'!$F$2:$I$50,2,0),"옛날 부서명 확인")</f>
        <v>Global Cooperation Team</v>
      </c>
      <c r="S225" s="23" t="str">
        <f>IFERROR(VLOOKUP($I225,'DB2'!$F$2:$I$50,4,0),"옛날 부서명 확인")</f>
        <v xml:space="preserve">Department of Planning and Strategy </v>
      </c>
    </row>
    <row r="226" spans="1:19" ht="22.5" hidden="1" customHeight="1">
      <c r="A226" s="19" t="s">
        <v>1207</v>
      </c>
      <c r="B226" s="19" t="s">
        <v>1204</v>
      </c>
      <c r="C226" s="19" t="s">
        <v>1208</v>
      </c>
      <c r="D226" s="20" t="s">
        <v>1206</v>
      </c>
      <c r="E226" s="20"/>
      <c r="F226" s="20" t="s">
        <v>714</v>
      </c>
      <c r="G226" s="19" t="s">
        <v>715</v>
      </c>
      <c r="H226" s="20" t="s">
        <v>818</v>
      </c>
      <c r="I226" s="20" t="s">
        <v>269</v>
      </c>
      <c r="J226" s="21">
        <v>10000000</v>
      </c>
      <c r="K226" s="22">
        <v>45658</v>
      </c>
      <c r="L226" s="22">
        <v>45777</v>
      </c>
      <c r="M226" s="20"/>
      <c r="N226" s="23" t="s">
        <v>2136</v>
      </c>
      <c r="O226" s="23" t="str">
        <f>IFERROR(VLOOKUP($G226,'DB2'!$A:$B,2,0),"공동과책 확인")</f>
        <v xml:space="preserve">Ju, Munsol </v>
      </c>
      <c r="P226" s="23" t="s">
        <v>1900</v>
      </c>
      <c r="Q226" s="23" t="s">
        <v>1911</v>
      </c>
      <c r="R226" s="23" t="str">
        <f>IFERROR(VLOOKUP($I226,'DB2'!$F$2:$I$50,2,0),"옛날 부서명 확인")</f>
        <v xml:space="preserve">Circular Economy Division </v>
      </c>
      <c r="S226" s="23" t="str">
        <f>IFERROR(VLOOKUP($I226,'DB2'!$F$2:$I$50,4,0),"옛날 부서명 확인")</f>
        <v xml:space="preserve">Sustainable Development Research Group  </v>
      </c>
    </row>
    <row r="227" spans="1:19" ht="22.5" hidden="1" customHeight="1">
      <c r="A227" s="19" t="s">
        <v>1212</v>
      </c>
      <c r="B227" s="19" t="s">
        <v>1204</v>
      </c>
      <c r="C227" s="19" t="s">
        <v>1213</v>
      </c>
      <c r="D227" s="20" t="s">
        <v>1211</v>
      </c>
      <c r="E227" s="20"/>
      <c r="F227" s="20" t="s">
        <v>588</v>
      </c>
      <c r="G227" s="19" t="s">
        <v>589</v>
      </c>
      <c r="H227" s="20" t="s">
        <v>98</v>
      </c>
      <c r="I227" s="20" t="s">
        <v>212</v>
      </c>
      <c r="J227" s="21">
        <v>10000000</v>
      </c>
      <c r="K227" s="22">
        <v>45658</v>
      </c>
      <c r="L227" s="22">
        <v>45777</v>
      </c>
      <c r="M227" s="20"/>
      <c r="N227" s="23" t="s">
        <v>2137</v>
      </c>
      <c r="O227" s="23" t="str">
        <f>IFERROR(VLOOKUP($G227,'DB2'!$A:$B,2,0),"공동과책 확인")</f>
        <v xml:space="preserve">Oh, Myoungjin </v>
      </c>
      <c r="P227" s="23" t="s">
        <v>1906</v>
      </c>
      <c r="Q227" s="23"/>
      <c r="R227" s="23" t="str">
        <f>IFERROR(VLOOKUP($I227,'DB2'!$F$2:$I$50,2,0),"옛날 부서명 확인")</f>
        <v xml:space="preserve">Water Management Division </v>
      </c>
      <c r="S227" s="23" t="str">
        <f>IFERROR(VLOOKUP($I227,'DB2'!$F$2:$I$50,4,0),"옛날 부서명 확인")</f>
        <v xml:space="preserve">Land and Environment Research Group </v>
      </c>
    </row>
    <row r="228" spans="1:19" ht="22.5" hidden="1" customHeight="1">
      <c r="A228" s="19" t="s">
        <v>1214</v>
      </c>
      <c r="B228" s="19" t="s">
        <v>1204</v>
      </c>
      <c r="C228" s="19" t="s">
        <v>1215</v>
      </c>
      <c r="D228" s="20" t="s">
        <v>1216</v>
      </c>
      <c r="E228" s="20"/>
      <c r="F228" s="20" t="s">
        <v>600</v>
      </c>
      <c r="G228" s="19" t="s">
        <v>601</v>
      </c>
      <c r="H228" s="20" t="s">
        <v>818</v>
      </c>
      <c r="I228" s="20" t="s">
        <v>269</v>
      </c>
      <c r="J228" s="21">
        <v>15000000</v>
      </c>
      <c r="K228" s="22">
        <v>45677</v>
      </c>
      <c r="L228" s="22">
        <v>45857</v>
      </c>
      <c r="M228" s="20"/>
      <c r="N228" s="23" t="s">
        <v>2138</v>
      </c>
      <c r="O228" s="23" t="str">
        <f>IFERROR(VLOOKUP($G228,'DB2'!$A:$B,2,0),"공동과책 확인")</f>
        <v>Jo, Ji Hye</v>
      </c>
      <c r="P228" s="23" t="s">
        <v>1900</v>
      </c>
      <c r="Q228" s="23" t="s">
        <v>1910</v>
      </c>
      <c r="R228" s="23" t="str">
        <f>IFERROR(VLOOKUP($I228,'DB2'!$F$2:$I$50,2,0),"옛날 부서명 확인")</f>
        <v xml:space="preserve">Circular Economy Division </v>
      </c>
      <c r="S228" s="23" t="str">
        <f>IFERROR(VLOOKUP($I228,'DB2'!$F$2:$I$50,4,0),"옛날 부서명 확인")</f>
        <v xml:space="preserve">Sustainable Development Research Group  </v>
      </c>
    </row>
    <row r="229" spans="1:19" ht="22.5" hidden="1" customHeight="1">
      <c r="A229" s="19" t="s">
        <v>1217</v>
      </c>
      <c r="B229" s="19" t="s">
        <v>1204</v>
      </c>
      <c r="C229" s="19" t="s">
        <v>1218</v>
      </c>
      <c r="D229" s="20" t="s">
        <v>1219</v>
      </c>
      <c r="E229" s="20"/>
      <c r="F229" s="20" t="s">
        <v>727</v>
      </c>
      <c r="G229" s="19" t="s">
        <v>728</v>
      </c>
      <c r="H229" s="20" t="s">
        <v>105</v>
      </c>
      <c r="I229" s="20" t="s">
        <v>353</v>
      </c>
      <c r="J229" s="21">
        <v>15000000</v>
      </c>
      <c r="K229" s="22">
        <v>45677</v>
      </c>
      <c r="L229" s="22">
        <v>45857</v>
      </c>
      <c r="M229" s="20"/>
      <c r="N229" s="23" t="s">
        <v>2139</v>
      </c>
      <c r="O229" s="23" t="str">
        <f>IFERROR(VLOOKUP($G229,'DB2'!$A:$B,2,0),"공동과책 확인")</f>
        <v>Kang, Taek Goo</v>
      </c>
      <c r="P229" s="23" t="s">
        <v>1913</v>
      </c>
      <c r="Q229" s="23" t="s">
        <v>1912</v>
      </c>
      <c r="R229" s="23" t="str">
        <f>IFERROR(VLOOKUP($I229,'DB2'!$F$2:$I$50,2,0),"옛날 부서명 확인")</f>
        <v xml:space="preserve">Green Economy Division </v>
      </c>
      <c r="S229" s="23" t="str">
        <f>IFERROR(VLOOKUP($I229,'DB2'!$F$2:$I$50,4,0),"옛날 부서명 확인")</f>
        <v xml:space="preserve">Climate and Atmospheric Strategy Research Group  </v>
      </c>
    </row>
    <row r="230" spans="1:19" ht="22.5" hidden="1" customHeight="1">
      <c r="A230" s="19" t="s">
        <v>1220</v>
      </c>
      <c r="B230" s="19" t="s">
        <v>1204</v>
      </c>
      <c r="C230" s="19" t="s">
        <v>1221</v>
      </c>
      <c r="D230" s="20" t="s">
        <v>1222</v>
      </c>
      <c r="E230" s="20"/>
      <c r="F230" s="20" t="s">
        <v>238</v>
      </c>
      <c r="G230" s="19" t="s">
        <v>239</v>
      </c>
      <c r="H230" s="20" t="s">
        <v>155</v>
      </c>
      <c r="I230" s="20" t="s">
        <v>156</v>
      </c>
      <c r="J230" s="21">
        <v>15000000</v>
      </c>
      <c r="K230" s="22">
        <v>45677</v>
      </c>
      <c r="L230" s="22">
        <v>45857</v>
      </c>
      <c r="M230" s="20"/>
      <c r="N230" s="23" t="s">
        <v>2140</v>
      </c>
      <c r="O230" s="23" t="str">
        <f>IFERROR(VLOOKUP($G230,'DB2'!$A:$B,2,0),"공동과책 확인")</f>
        <v xml:space="preserve">Jung, Dawoon </v>
      </c>
      <c r="P230" s="23" t="s">
        <v>1903</v>
      </c>
      <c r="Q230" s="23" t="s">
        <v>1911</v>
      </c>
      <c r="R230" s="23" t="str">
        <f>IFERROR(VLOOKUP($I230,'DB2'!$F$2:$I$50,2,0),"옛날 부서명 확인")</f>
        <v xml:space="preserve">Environmental Health Division </v>
      </c>
      <c r="S230" s="23" t="str">
        <f>IFERROR(VLOOKUP($I230,'DB2'!$F$2:$I$50,4,0),"옛날 부서명 확인")</f>
        <v xml:space="preserve">Sustainable Development Research Group  </v>
      </c>
    </row>
    <row r="231" spans="1:19" ht="22.5" hidden="1" customHeight="1">
      <c r="A231" s="19" t="s">
        <v>1223</v>
      </c>
      <c r="B231" s="19" t="s">
        <v>1204</v>
      </c>
      <c r="C231" s="19" t="s">
        <v>1224</v>
      </c>
      <c r="D231" s="20" t="s">
        <v>1225</v>
      </c>
      <c r="E231" s="20"/>
      <c r="F231" s="20" t="s">
        <v>588</v>
      </c>
      <c r="G231" s="19" t="s">
        <v>589</v>
      </c>
      <c r="H231" s="20" t="s">
        <v>211</v>
      </c>
      <c r="I231" s="20" t="s">
        <v>212</v>
      </c>
      <c r="J231" s="21">
        <v>15000000</v>
      </c>
      <c r="K231" s="22">
        <v>45839</v>
      </c>
      <c r="L231" s="22">
        <v>46022</v>
      </c>
      <c r="M231" s="20"/>
      <c r="N231" s="23" t="s">
        <v>2141</v>
      </c>
      <c r="O231" s="23" t="str">
        <f>IFERROR(VLOOKUP($G231,'DB2'!$A:$B,2,0),"공동과책 확인")</f>
        <v xml:space="preserve">Oh, Myoungjin </v>
      </c>
      <c r="P231" s="23" t="s">
        <v>1906</v>
      </c>
      <c r="Q231" s="23" t="s">
        <v>1910</v>
      </c>
      <c r="R231" s="23" t="str">
        <f>IFERROR(VLOOKUP($I231,'DB2'!$F$2:$I$50,2,0),"옛날 부서명 확인")</f>
        <v xml:space="preserve">Water Management Division </v>
      </c>
      <c r="S231" s="23" t="str">
        <f>IFERROR(VLOOKUP($I231,'DB2'!$F$2:$I$50,4,0),"옛날 부서명 확인")</f>
        <v xml:space="preserve">Land and Environment Research Group </v>
      </c>
    </row>
    <row r="232" spans="1:19" ht="22.5" hidden="1" customHeight="1">
      <c r="A232" s="19" t="s">
        <v>1226</v>
      </c>
      <c r="B232" s="19" t="s">
        <v>1204</v>
      </c>
      <c r="C232" s="19" t="s">
        <v>1227</v>
      </c>
      <c r="D232" s="20" t="s">
        <v>1228</v>
      </c>
      <c r="E232" s="20"/>
      <c r="F232" s="20" t="s">
        <v>335</v>
      </c>
      <c r="G232" s="19" t="s">
        <v>336</v>
      </c>
      <c r="H232" s="20" t="s">
        <v>211</v>
      </c>
      <c r="I232" s="20" t="s">
        <v>212</v>
      </c>
      <c r="J232" s="21">
        <v>15000000</v>
      </c>
      <c r="K232" s="22">
        <v>45839</v>
      </c>
      <c r="L232" s="22">
        <v>46022</v>
      </c>
      <c r="M232" s="20"/>
      <c r="N232" s="23" t="s">
        <v>2142</v>
      </c>
      <c r="O232" s="23" t="str">
        <f>IFERROR(VLOOKUP($G232,'DB2'!$A:$B,2,0),"공동과책 확인")</f>
        <v xml:space="preserve">Lee, Seungsoo </v>
      </c>
      <c r="P232" s="23" t="s">
        <v>1906</v>
      </c>
      <c r="Q232" s="23" t="s">
        <v>1908</v>
      </c>
      <c r="R232" s="23" t="str">
        <f>IFERROR(VLOOKUP($I232,'DB2'!$F$2:$I$50,2,0),"옛날 부서명 확인")</f>
        <v xml:space="preserve">Water Management Division </v>
      </c>
      <c r="S232" s="23" t="str">
        <f>IFERROR(VLOOKUP($I232,'DB2'!$F$2:$I$50,4,0),"옛날 부서명 확인")</f>
        <v xml:space="preserve">Land and Environment Research Group </v>
      </c>
    </row>
    <row r="233" spans="1:19" ht="22.5" hidden="1" customHeight="1">
      <c r="A233" s="19" t="s">
        <v>1229</v>
      </c>
      <c r="B233" s="19" t="s">
        <v>1204</v>
      </c>
      <c r="C233" s="19" t="s">
        <v>1230</v>
      </c>
      <c r="D233" s="20" t="s">
        <v>1231</v>
      </c>
      <c r="E233" s="20"/>
      <c r="F233" s="20" t="s">
        <v>1232</v>
      </c>
      <c r="G233" s="19" t="s">
        <v>1233</v>
      </c>
      <c r="H233" s="20" t="s">
        <v>40</v>
      </c>
      <c r="I233" s="20" t="s">
        <v>41</v>
      </c>
      <c r="J233" s="21">
        <v>15000000</v>
      </c>
      <c r="K233" s="22">
        <v>45839</v>
      </c>
      <c r="L233" s="22">
        <v>46022</v>
      </c>
      <c r="M233" s="20"/>
      <c r="N233" s="23" t="s">
        <v>2143</v>
      </c>
      <c r="O233" s="23" t="str">
        <f>IFERROR(VLOOKUP($G233,'DB2'!$A:$B,2,0),"공동과책 확인")</f>
        <v>Kim, Dokyun</v>
      </c>
      <c r="P233" s="23" t="s">
        <v>1911</v>
      </c>
      <c r="Q233" s="23" t="s">
        <v>1913</v>
      </c>
      <c r="R233" s="23" t="str">
        <f>IFERROR(VLOOKUP($I233,'DB2'!$F$2:$I$50,2,0),"옛날 부서명 확인")</f>
        <v xml:space="preserve">Living Environment and Society Division </v>
      </c>
      <c r="S233" s="23" t="str">
        <f>IFERROR(VLOOKUP($I233,'DB2'!$F$2:$I$50,4,0),"옛날 부서명 확인")</f>
        <v xml:space="preserve">Sustainable Development Research Group  </v>
      </c>
    </row>
    <row r="234" spans="1:19" ht="22.5" hidden="1" customHeight="1">
      <c r="A234" s="19" t="s">
        <v>303</v>
      </c>
      <c r="B234" s="19" t="s">
        <v>22</v>
      </c>
      <c r="C234" s="24" t="s">
        <v>304</v>
      </c>
      <c r="D234" s="20" t="s">
        <v>305</v>
      </c>
      <c r="E234" s="20"/>
      <c r="F234" s="20" t="s">
        <v>306</v>
      </c>
      <c r="G234" s="19" t="s">
        <v>307</v>
      </c>
      <c r="H234" s="20" t="s">
        <v>308</v>
      </c>
      <c r="I234" s="20" t="s">
        <v>309</v>
      </c>
      <c r="J234" s="21">
        <v>3095000000</v>
      </c>
      <c r="K234" s="22">
        <v>45658</v>
      </c>
      <c r="L234" s="22">
        <v>46022</v>
      </c>
      <c r="M234" s="20" t="s">
        <v>310</v>
      </c>
      <c r="N234" s="23" t="s">
        <v>2147</v>
      </c>
      <c r="O234" s="23" t="str">
        <f>IFERROR(VLOOKUP($G234,'DB2'!$A:$B,2,0),"공동과책 확인")</f>
        <v>Jung, Huicheul</v>
      </c>
      <c r="P234" s="23" t="s">
        <v>2148</v>
      </c>
      <c r="Q234" s="23" t="s">
        <v>2149</v>
      </c>
      <c r="R234" s="23" t="str">
        <f>IFERROR(VLOOKUP($I234,'DB2'!$F$2:$I$50,2,0),"옛날 부서명 확인")</f>
        <v xml:space="preserve">Korea Adaptation Center for Climate Change </v>
      </c>
      <c r="S234" s="23" t="str">
        <f>IFERROR(VLOOKUP($I234,'DB2'!$F$2:$I$50,4,0),"옛날 부서명 확인")</f>
        <v xml:space="preserve">Korea Adaptation Center for Climate Change </v>
      </c>
    </row>
    <row r="235" spans="1:19" ht="22.5" hidden="1" customHeight="1">
      <c r="A235" s="19" t="s">
        <v>372</v>
      </c>
      <c r="B235" s="19" t="s">
        <v>22</v>
      </c>
      <c r="C235" s="24" t="s">
        <v>373</v>
      </c>
      <c r="D235" s="20" t="s">
        <v>374</v>
      </c>
      <c r="E235" s="20"/>
      <c r="F235" s="20" t="s">
        <v>375</v>
      </c>
      <c r="G235" s="19" t="s">
        <v>376</v>
      </c>
      <c r="H235" s="20" t="s">
        <v>316</v>
      </c>
      <c r="I235" s="20" t="s">
        <v>317</v>
      </c>
      <c r="J235" s="21">
        <v>850000000</v>
      </c>
      <c r="K235" s="22">
        <v>45658</v>
      </c>
      <c r="L235" s="22">
        <v>46022</v>
      </c>
      <c r="M235" s="20" t="s">
        <v>354</v>
      </c>
      <c r="N235" s="23"/>
      <c r="O235" s="23" t="str">
        <f>IFERROR(VLOOKUP($G235,'DB2'!$A:$B,2,0),"공동과책 확인")</f>
        <v>Song, Youngil</v>
      </c>
      <c r="P235" s="23"/>
      <c r="Q235" s="23"/>
      <c r="R235" s="23" t="str">
        <f>IFERROR(VLOOKUP($I235,'DB2'!$F$2:$I$50,2,0),"옛날 부서명 확인")</f>
        <v xml:space="preserve">Climate Adaptation Policy Division </v>
      </c>
      <c r="S235" s="23" t="str">
        <f>IFERROR(VLOOKUP($I235,'DB2'!$F$2:$I$50,4,0),"옛날 부서명 확인")</f>
        <v xml:space="preserve">Korea Adaptation Center for Climate Change </v>
      </c>
    </row>
    <row r="236" spans="1:19" ht="22.5" hidden="1" customHeight="1">
      <c r="A236" s="19" t="s">
        <v>753</v>
      </c>
      <c r="B236" s="19" t="s">
        <v>22</v>
      </c>
      <c r="C236" s="24" t="s">
        <v>754</v>
      </c>
      <c r="D236" s="20" t="s">
        <v>755</v>
      </c>
      <c r="E236" s="20"/>
      <c r="F236" s="20" t="s">
        <v>335</v>
      </c>
      <c r="G236" s="19" t="s">
        <v>336</v>
      </c>
      <c r="H236" s="20" t="s">
        <v>211</v>
      </c>
      <c r="I236" s="20" t="s">
        <v>212</v>
      </c>
      <c r="J236" s="21">
        <v>70000000</v>
      </c>
      <c r="K236" s="22">
        <v>45748</v>
      </c>
      <c r="L236" s="22">
        <v>46022</v>
      </c>
      <c r="M236" s="20" t="s">
        <v>416</v>
      </c>
      <c r="N236" s="23"/>
      <c r="O236" s="23" t="str">
        <f>IFERROR(VLOOKUP($G236,'DB2'!$A:$B,2,0),"공동과책 확인")</f>
        <v xml:space="preserve">Lee, Seungsoo </v>
      </c>
      <c r="P236" s="23"/>
      <c r="Q236" s="23"/>
      <c r="R236" s="23" t="str">
        <f>IFERROR(VLOOKUP($I236,'DB2'!$F$2:$I$50,2,0),"옛날 부서명 확인")</f>
        <v xml:space="preserve">Water Management Division </v>
      </c>
      <c r="S236" s="23" t="str">
        <f>IFERROR(VLOOKUP($I236,'DB2'!$F$2:$I$50,4,0),"옛날 부서명 확인")</f>
        <v xml:space="preserve">Land and Environment Research Group </v>
      </c>
    </row>
    <row r="237" spans="1:19" ht="22.5" customHeight="1">
      <c r="A237" s="26" t="s">
        <v>765</v>
      </c>
      <c r="B237" s="26" t="s">
        <v>22</v>
      </c>
      <c r="C237" s="31" t="s">
        <v>766</v>
      </c>
      <c r="D237" s="27" t="s">
        <v>2156</v>
      </c>
      <c r="E237" s="20"/>
      <c r="F237" s="20" t="s">
        <v>219</v>
      </c>
      <c r="G237" s="26" t="s">
        <v>341</v>
      </c>
      <c r="H237" s="20" t="s">
        <v>221</v>
      </c>
      <c r="I237" s="27" t="s">
        <v>222</v>
      </c>
      <c r="J237" s="28">
        <v>89090900</v>
      </c>
      <c r="K237" s="29">
        <v>45876</v>
      </c>
      <c r="L237" s="29">
        <v>46176</v>
      </c>
      <c r="M237" s="20" t="s">
        <v>767</v>
      </c>
      <c r="N237" s="30" t="s">
        <v>2157</v>
      </c>
      <c r="O237" s="30" t="str">
        <f>IFERROR(VLOOKUP($G237,'DB2'!$A:$B,2,0),"공동과책 확인")</f>
        <v>Yoon, Jeongho</v>
      </c>
      <c r="P237" s="30" t="s">
        <v>2200</v>
      </c>
      <c r="Q237" s="30" t="s">
        <v>2201</v>
      </c>
      <c r="R237" s="30" t="str">
        <f>IFERROR(VLOOKUP($I237,'DB2'!$F$2:$I$50,2,0),"옛날 부서명 확인")</f>
        <v>Spatial Planning and Management Division</v>
      </c>
      <c r="S237" s="30" t="str">
        <f>IFERROR(VLOOKUP($I237,'DB2'!$F$2:$I$50,4,0),"옛날 부서명 확인")</f>
        <v xml:space="preserve">Land and Environment Research Group </v>
      </c>
    </row>
    <row r="238" spans="1:19" ht="22.5" customHeight="1">
      <c r="A238" s="26" t="s">
        <v>768</v>
      </c>
      <c r="B238" s="26" t="s">
        <v>22</v>
      </c>
      <c r="C238" s="31" t="s">
        <v>769</v>
      </c>
      <c r="D238" s="27" t="s">
        <v>2158</v>
      </c>
      <c r="E238" s="20"/>
      <c r="F238" s="20" t="s">
        <v>58</v>
      </c>
      <c r="G238" s="26" t="s">
        <v>59</v>
      </c>
      <c r="H238" s="20" t="s">
        <v>438</v>
      </c>
      <c r="I238" s="27" t="s">
        <v>439</v>
      </c>
      <c r="J238" s="28">
        <v>52500000</v>
      </c>
      <c r="K238" s="29">
        <v>45931</v>
      </c>
      <c r="L238" s="29">
        <v>46022</v>
      </c>
      <c r="M238" s="20" t="s">
        <v>62</v>
      </c>
      <c r="N238" s="30" t="s">
        <v>2159</v>
      </c>
      <c r="O238" s="30" t="str">
        <f>IFERROR(VLOOKUP($G238,'DB2'!$A:$B,2,0),"공동과책 확인")</f>
        <v>Choi, Yuyoung</v>
      </c>
      <c r="P238" s="30" t="s">
        <v>2202</v>
      </c>
      <c r="Q238" s="30" t="s">
        <v>2203</v>
      </c>
      <c r="R238" s="30" t="str">
        <f>IFERROR(VLOOKUP($I238,'DB2'!$F$2:$I$50,2,0),"옛날 부서명 확인")</f>
        <v xml:space="preserve">Land Strategy Assessment Division </v>
      </c>
      <c r="S238" s="30" t="str">
        <f>IFERROR(VLOOKUP($I238,'DB2'!$F$2:$I$50,4,0),"옛날 부서명 확인")</f>
        <v xml:space="preserve">Environmental Assessment Group </v>
      </c>
    </row>
    <row r="239" spans="1:19" ht="22.5" customHeight="1">
      <c r="A239" s="26" t="s">
        <v>770</v>
      </c>
      <c r="B239" s="26" t="s">
        <v>22</v>
      </c>
      <c r="C239" s="31" t="s">
        <v>771</v>
      </c>
      <c r="D239" s="27" t="s">
        <v>2160</v>
      </c>
      <c r="E239" s="20"/>
      <c r="F239" s="20" t="s">
        <v>541</v>
      </c>
      <c r="G239" s="26" t="s">
        <v>542</v>
      </c>
      <c r="H239" s="20" t="s">
        <v>33</v>
      </c>
      <c r="I239" s="27" t="s">
        <v>28</v>
      </c>
      <c r="J239" s="28">
        <v>76440000</v>
      </c>
      <c r="K239" s="29">
        <v>45890</v>
      </c>
      <c r="L239" s="29">
        <v>46099</v>
      </c>
      <c r="M239" s="20" t="s">
        <v>772</v>
      </c>
      <c r="N239" s="30" t="s">
        <v>2161</v>
      </c>
      <c r="O239" s="30" t="str">
        <f>IFERROR(VLOOKUP($G239,'DB2'!$A:$B,2,0),"공동과책 확인")</f>
        <v>Lee, Who-Seung</v>
      </c>
      <c r="P239" s="30" t="s">
        <v>2202</v>
      </c>
      <c r="Q239" s="30" t="s">
        <v>2203</v>
      </c>
      <c r="R239" s="30" t="str">
        <f>IFERROR(VLOOKUP($I239,'DB2'!$F$2:$I$50,2,0),"옛날 부서명 확인")</f>
        <v xml:space="preserve">Natural Environment Division </v>
      </c>
      <c r="S239" s="30" t="str">
        <f>IFERROR(VLOOKUP($I239,'DB2'!$F$2:$I$50,4,0),"옛날 부서명 확인")</f>
        <v xml:space="preserve">Land and Environment Research Group </v>
      </c>
    </row>
    <row r="240" spans="1:19" ht="22.5" customHeight="1">
      <c r="A240" s="26" t="s">
        <v>773</v>
      </c>
      <c r="B240" s="26" t="s">
        <v>22</v>
      </c>
      <c r="C240" s="31" t="s">
        <v>774</v>
      </c>
      <c r="D240" s="27" t="s">
        <v>2162</v>
      </c>
      <c r="E240" s="20"/>
      <c r="F240" s="20" t="s">
        <v>775</v>
      </c>
      <c r="G240" s="26" t="s">
        <v>776</v>
      </c>
      <c r="H240" s="20" t="s">
        <v>423</v>
      </c>
      <c r="I240" s="27" t="s">
        <v>424</v>
      </c>
      <c r="J240" s="28">
        <v>280615630</v>
      </c>
      <c r="K240" s="29">
        <v>45898</v>
      </c>
      <c r="L240" s="29">
        <v>46262</v>
      </c>
      <c r="M240" s="20" t="s">
        <v>310</v>
      </c>
      <c r="N240" s="30" t="s">
        <v>2163</v>
      </c>
      <c r="O240" s="30" t="str">
        <f>IFERROR(VLOOKUP($G240,'DB2'!$A:$B,2,0),"공동과책 확인")</f>
        <v>Kim, Yumi</v>
      </c>
      <c r="P240" s="30" t="s">
        <v>2201</v>
      </c>
      <c r="Q240" s="30" t="s">
        <v>2204</v>
      </c>
      <c r="R240" s="30" t="str">
        <f>IFERROR(VLOOKUP($I240,'DB2'!$F$2:$I$50,2,0),"옛날 부서명 확인")</f>
        <v xml:space="preserve">Climate and Energy Assessment Division </v>
      </c>
      <c r="S240" s="30" t="str">
        <f>IFERROR(VLOOKUP($I240,'DB2'!$F$2:$I$50,4,0),"옛날 부서명 확인")</f>
        <v xml:space="preserve">Environmental Assessment Group </v>
      </c>
    </row>
    <row r="241" spans="1:19" ht="22.5" customHeight="1">
      <c r="A241" s="26" t="s">
        <v>777</v>
      </c>
      <c r="B241" s="26" t="s">
        <v>22</v>
      </c>
      <c r="C241" s="31" t="s">
        <v>778</v>
      </c>
      <c r="D241" s="27" t="s">
        <v>2164</v>
      </c>
      <c r="E241" s="20"/>
      <c r="F241" s="20" t="s">
        <v>345</v>
      </c>
      <c r="G241" s="26" t="s">
        <v>346</v>
      </c>
      <c r="H241" s="20" t="s">
        <v>347</v>
      </c>
      <c r="I241" s="27" t="s">
        <v>348</v>
      </c>
      <c r="J241" s="28">
        <v>209625000</v>
      </c>
      <c r="K241" s="29">
        <v>45901</v>
      </c>
      <c r="L241" s="29">
        <v>46476</v>
      </c>
      <c r="M241" s="20" t="s">
        <v>779</v>
      </c>
      <c r="N241" s="30" t="s">
        <v>2165</v>
      </c>
      <c r="O241" s="30" t="str">
        <f>IFERROR(VLOOKUP($G241,'DB2'!$A:$B,2,0),"공동과책 확인")</f>
        <v>Chang, Hoon</v>
      </c>
      <c r="P241" s="30" t="s">
        <v>2205</v>
      </c>
      <c r="Q241" s="30" t="s">
        <v>2206</v>
      </c>
      <c r="R241" s="30" t="str">
        <f>IFERROR(VLOOKUP($I241,'DB2'!$F$2:$I$50,2,0),"옛날 부서명 확인")</f>
        <v xml:space="preserve">Climate and Atmospheric Strategy Research Group  </v>
      </c>
      <c r="S241" s="30" t="str">
        <f>IFERROR(VLOOKUP($I241,'DB2'!$F$2:$I$50,4,0),"옛날 부서명 확인")</f>
        <v xml:space="preserve">Climate and Atmospheric Strategy Research Group  </v>
      </c>
    </row>
    <row r="242" spans="1:19" ht="22.5" customHeight="1">
      <c r="A242" s="26" t="s">
        <v>780</v>
      </c>
      <c r="B242" s="26" t="s">
        <v>22</v>
      </c>
      <c r="C242" s="31" t="s">
        <v>781</v>
      </c>
      <c r="D242" s="27" t="s">
        <v>2166</v>
      </c>
      <c r="E242" s="20"/>
      <c r="F242" s="20" t="s">
        <v>128</v>
      </c>
      <c r="G242" s="26" t="s">
        <v>129</v>
      </c>
      <c r="H242" s="20" t="s">
        <v>455</v>
      </c>
      <c r="I242" s="27" t="s">
        <v>131</v>
      </c>
      <c r="J242" s="28">
        <v>136360000</v>
      </c>
      <c r="K242" s="29">
        <v>45924</v>
      </c>
      <c r="L242" s="29">
        <v>46288</v>
      </c>
      <c r="M242" s="20" t="s">
        <v>531</v>
      </c>
      <c r="N242" s="30" t="s">
        <v>2167</v>
      </c>
      <c r="O242" s="30" t="str">
        <f>IFERROR(VLOOKUP($G242,'DB2'!$A:$B,2,0),"공동과책 확인")</f>
        <v>Kim, Sungjin</v>
      </c>
      <c r="P242" s="30" t="s">
        <v>2206</v>
      </c>
      <c r="Q242" s="30" t="s">
        <v>2207</v>
      </c>
      <c r="R242" s="30" t="str">
        <f>IFERROR(VLOOKUP($I242,'DB2'!$F$2:$I$50,2,0),"옛날 부서명 확인")</f>
        <v xml:space="preserve">Carbon Neutrality Division </v>
      </c>
      <c r="S242" s="30" t="str">
        <f>IFERROR(VLOOKUP($I242,'DB2'!$F$2:$I$50,4,0),"옛날 부서명 확인")</f>
        <v xml:space="preserve">Climate and Atmospheric Strategy Research Group  </v>
      </c>
    </row>
    <row r="243" spans="1:19" ht="22.5" customHeight="1">
      <c r="A243" s="26" t="s">
        <v>782</v>
      </c>
      <c r="B243" s="26" t="s">
        <v>22</v>
      </c>
      <c r="C243" s="31" t="s">
        <v>783</v>
      </c>
      <c r="D243" s="27" t="s">
        <v>2168</v>
      </c>
      <c r="E243" s="20"/>
      <c r="F243" s="20" t="s">
        <v>161</v>
      </c>
      <c r="G243" s="26" t="s">
        <v>162</v>
      </c>
      <c r="H243" s="20" t="s">
        <v>455</v>
      </c>
      <c r="I243" s="27" t="s">
        <v>131</v>
      </c>
      <c r="J243" s="28">
        <v>50000000</v>
      </c>
      <c r="K243" s="29">
        <v>45924</v>
      </c>
      <c r="L243" s="29">
        <v>46133</v>
      </c>
      <c r="M243" s="20" t="s">
        <v>163</v>
      </c>
      <c r="N243" s="30" t="s">
        <v>2169</v>
      </c>
      <c r="O243" s="30" t="str">
        <f>IFERROR(VLOOKUP($G243,'DB2'!$A:$B,2,0),"공동과책 확인")</f>
        <v>Lee, Jeongeun</v>
      </c>
      <c r="P243" s="30" t="s">
        <v>2206</v>
      </c>
      <c r="Q243" s="30" t="s">
        <v>2207</v>
      </c>
      <c r="R243" s="30" t="str">
        <f>IFERROR(VLOOKUP($I243,'DB2'!$F$2:$I$50,2,0),"옛날 부서명 확인")</f>
        <v xml:space="preserve">Carbon Neutrality Division </v>
      </c>
      <c r="S243" s="30" t="str">
        <f>IFERROR(VLOOKUP($I243,'DB2'!$F$2:$I$50,4,0),"옛날 부서명 확인")</f>
        <v xml:space="preserve">Climate and Atmospheric Strategy Research Group  </v>
      </c>
    </row>
    <row r="244" spans="1:19" ht="22.5" customHeight="1">
      <c r="A244" s="26" t="s">
        <v>784</v>
      </c>
      <c r="B244" s="26" t="s">
        <v>22</v>
      </c>
      <c r="C244" s="31" t="s">
        <v>785</v>
      </c>
      <c r="D244" s="27" t="s">
        <v>2170</v>
      </c>
      <c r="E244" s="20"/>
      <c r="F244" s="20" t="s">
        <v>53</v>
      </c>
      <c r="G244" s="26" t="s">
        <v>54</v>
      </c>
      <c r="H244" s="20" t="s">
        <v>33</v>
      </c>
      <c r="I244" s="27" t="s">
        <v>28</v>
      </c>
      <c r="J244" s="28">
        <v>214500000</v>
      </c>
      <c r="K244" s="29">
        <v>45925</v>
      </c>
      <c r="L244" s="29">
        <v>46289</v>
      </c>
      <c r="M244" s="20" t="s">
        <v>786</v>
      </c>
      <c r="N244" s="30" t="s">
        <v>2171</v>
      </c>
      <c r="O244" s="30" t="str">
        <f>IFERROR(VLOOKUP($G244,'DB2'!$A:$B,2,0),"공동과책 확인")</f>
        <v xml:space="preserve">Koo, Kyung Ah </v>
      </c>
      <c r="P244" s="30" t="s">
        <v>2202</v>
      </c>
      <c r="Q244" s="30" t="s">
        <v>2207</v>
      </c>
      <c r="R244" s="30" t="str">
        <f>IFERROR(VLOOKUP($I244,'DB2'!$F$2:$I$50,2,0),"옛날 부서명 확인")</f>
        <v xml:space="preserve">Natural Environment Division </v>
      </c>
      <c r="S244" s="30" t="str">
        <f>IFERROR(VLOOKUP($I244,'DB2'!$F$2:$I$50,4,0),"옛날 부서명 확인")</f>
        <v xml:space="preserve">Land and Environment Research Group </v>
      </c>
    </row>
    <row r="245" spans="1:19" ht="22.5" customHeight="1">
      <c r="A245" s="26" t="s">
        <v>787</v>
      </c>
      <c r="B245" s="26" t="s">
        <v>22</v>
      </c>
      <c r="C245" s="31" t="s">
        <v>788</v>
      </c>
      <c r="D245" s="27" t="s">
        <v>2172</v>
      </c>
      <c r="E245" s="20"/>
      <c r="F245" s="20" t="s">
        <v>541</v>
      </c>
      <c r="G245" s="26" t="s">
        <v>542</v>
      </c>
      <c r="H245" s="20" t="s">
        <v>33</v>
      </c>
      <c r="I245" s="27" t="s">
        <v>28</v>
      </c>
      <c r="J245" s="28">
        <v>62200000</v>
      </c>
      <c r="K245" s="29">
        <v>45925</v>
      </c>
      <c r="L245" s="29">
        <v>46104</v>
      </c>
      <c r="M245" s="20" t="s">
        <v>789</v>
      </c>
      <c r="N245" s="30" t="s">
        <v>2173</v>
      </c>
      <c r="O245" s="30" t="str">
        <f>IFERROR(VLOOKUP($G245,'DB2'!$A:$B,2,0),"공동과책 확인")</f>
        <v>Lee, Who-Seung</v>
      </c>
      <c r="P245" s="30" t="s">
        <v>2202</v>
      </c>
      <c r="Q245" s="30" t="s">
        <v>2208</v>
      </c>
      <c r="R245" s="30" t="str">
        <f>IFERROR(VLOOKUP($I245,'DB2'!$F$2:$I$50,2,0),"옛날 부서명 확인")</f>
        <v xml:space="preserve">Natural Environment Division </v>
      </c>
      <c r="S245" s="30" t="str">
        <f>IFERROR(VLOOKUP($I245,'DB2'!$F$2:$I$50,4,0),"옛날 부서명 확인")</f>
        <v xml:space="preserve">Land and Environment Research Group </v>
      </c>
    </row>
    <row r="246" spans="1:19" ht="22.5" customHeight="1">
      <c r="A246" s="26" t="s">
        <v>790</v>
      </c>
      <c r="B246" s="26" t="s">
        <v>22</v>
      </c>
      <c r="C246" s="31" t="s">
        <v>791</v>
      </c>
      <c r="D246" s="27" t="s">
        <v>2174</v>
      </c>
      <c r="E246" s="20"/>
      <c r="F246" s="20" t="s">
        <v>142</v>
      </c>
      <c r="G246" s="26" t="s">
        <v>143</v>
      </c>
      <c r="H246" s="20" t="s">
        <v>438</v>
      </c>
      <c r="I246" s="27" t="s">
        <v>439</v>
      </c>
      <c r="J246" s="28">
        <v>49500000</v>
      </c>
      <c r="K246" s="29">
        <v>45943</v>
      </c>
      <c r="L246" s="29">
        <v>46182</v>
      </c>
      <c r="M246" s="20" t="s">
        <v>146</v>
      </c>
      <c r="N246" s="30" t="s">
        <v>2175</v>
      </c>
      <c r="O246" s="30" t="str">
        <f>IFERROR(VLOOKUP($G246,'DB2'!$A:$B,2,0),"공동과책 확인")</f>
        <v>Yi, Youngjae</v>
      </c>
      <c r="P246" s="30" t="s">
        <v>2201</v>
      </c>
      <c r="Q246" s="30" t="s">
        <v>2207</v>
      </c>
      <c r="R246" s="30" t="str">
        <f>IFERROR(VLOOKUP($I246,'DB2'!$F$2:$I$50,2,0),"옛날 부서명 확인")</f>
        <v xml:space="preserve">Land Strategy Assessment Division </v>
      </c>
      <c r="S246" s="30" t="str">
        <f>IFERROR(VLOOKUP($I246,'DB2'!$F$2:$I$50,4,0),"옛날 부서명 확인")</f>
        <v xml:space="preserve">Environmental Assessment Group </v>
      </c>
    </row>
    <row r="247" spans="1:19" ht="22.5" customHeight="1">
      <c r="A247" s="26" t="s">
        <v>792</v>
      </c>
      <c r="B247" s="26" t="s">
        <v>22</v>
      </c>
      <c r="C247" s="31" t="s">
        <v>793</v>
      </c>
      <c r="D247" s="27" t="s">
        <v>2176</v>
      </c>
      <c r="E247" s="20"/>
      <c r="F247" s="20" t="s">
        <v>794</v>
      </c>
      <c r="G247" s="26" t="s">
        <v>795</v>
      </c>
      <c r="H247" s="20" t="s">
        <v>455</v>
      </c>
      <c r="I247" s="27" t="s">
        <v>131</v>
      </c>
      <c r="J247" s="28">
        <v>50000000</v>
      </c>
      <c r="K247" s="29">
        <v>45932</v>
      </c>
      <c r="L247" s="29">
        <v>46055</v>
      </c>
      <c r="M247" s="20" t="s">
        <v>796</v>
      </c>
      <c r="N247" s="30" t="s">
        <v>2177</v>
      </c>
      <c r="O247" s="30" t="str">
        <f>IFERROR(VLOOKUP($G247,'DB2'!$A:$B,2,0),"공동과책 확인")</f>
        <v>Shin, Dong Won</v>
      </c>
      <c r="P247" s="30" t="s">
        <v>2206</v>
      </c>
      <c r="Q247" s="30" t="s">
        <v>2207</v>
      </c>
      <c r="R247" s="30" t="str">
        <f>IFERROR(VLOOKUP($I247,'DB2'!$F$2:$I$50,2,0),"옛날 부서명 확인")</f>
        <v xml:space="preserve">Carbon Neutrality Division </v>
      </c>
      <c r="S247" s="30" t="str">
        <f>IFERROR(VLOOKUP($I247,'DB2'!$F$2:$I$50,4,0),"옛날 부서명 확인")</f>
        <v xml:space="preserve">Climate and Atmospheric Strategy Research Group  </v>
      </c>
    </row>
    <row r="248" spans="1:19" ht="22.5" customHeight="1">
      <c r="A248" s="26" t="s">
        <v>797</v>
      </c>
      <c r="B248" s="26" t="s">
        <v>22</v>
      </c>
      <c r="C248" s="31" t="s">
        <v>798</v>
      </c>
      <c r="D248" s="27" t="s">
        <v>2178</v>
      </c>
      <c r="E248" s="20"/>
      <c r="F248" s="20" t="s">
        <v>588</v>
      </c>
      <c r="G248" s="26" t="s">
        <v>589</v>
      </c>
      <c r="H248" s="20" t="s">
        <v>211</v>
      </c>
      <c r="I248" s="27" t="s">
        <v>212</v>
      </c>
      <c r="J248" s="28">
        <v>49700000</v>
      </c>
      <c r="K248" s="29">
        <v>45958</v>
      </c>
      <c r="L248" s="29">
        <v>46197</v>
      </c>
      <c r="M248" s="20" t="s">
        <v>799</v>
      </c>
      <c r="N248" s="30" t="s">
        <v>2179</v>
      </c>
      <c r="O248" s="30" t="str">
        <f>IFERROR(VLOOKUP($G248,'DB2'!$A:$B,2,0),"공동과책 확인")</f>
        <v xml:space="preserve">Oh, Myoungjin </v>
      </c>
      <c r="P248" s="30" t="s">
        <v>2209</v>
      </c>
      <c r="Q248" s="30" t="s">
        <v>2207</v>
      </c>
      <c r="R248" s="30" t="str">
        <f>IFERROR(VLOOKUP($I248,'DB2'!$F$2:$I$50,2,0),"옛날 부서명 확인")</f>
        <v xml:space="preserve">Water Management Division </v>
      </c>
      <c r="S248" s="30" t="str">
        <f>IFERROR(VLOOKUP($I248,'DB2'!$F$2:$I$50,4,0),"옛날 부서명 확인")</f>
        <v xml:space="preserve">Land and Environment Research Group </v>
      </c>
    </row>
    <row r="249" spans="1:19" ht="22.5" customHeight="1">
      <c r="A249" s="26" t="s">
        <v>800</v>
      </c>
      <c r="B249" s="26" t="s">
        <v>22</v>
      </c>
      <c r="C249" s="31" t="s">
        <v>801</v>
      </c>
      <c r="D249" s="27" t="s">
        <v>2180</v>
      </c>
      <c r="E249" s="20"/>
      <c r="F249" s="20" t="s">
        <v>227</v>
      </c>
      <c r="G249" s="26" t="s">
        <v>228</v>
      </c>
      <c r="H249" s="20" t="s">
        <v>211</v>
      </c>
      <c r="I249" s="27" t="s">
        <v>212</v>
      </c>
      <c r="J249" s="28">
        <v>171000000</v>
      </c>
      <c r="K249" s="29">
        <v>45948</v>
      </c>
      <c r="L249" s="29">
        <v>46312</v>
      </c>
      <c r="M249" s="20" t="s">
        <v>802</v>
      </c>
      <c r="N249" s="30" t="s">
        <v>2181</v>
      </c>
      <c r="O249" s="30" t="str">
        <f>IFERROR(VLOOKUP($G249,'DB2'!$A:$B,2,0),"공동과책 확인")</f>
        <v>Han, Haejin</v>
      </c>
      <c r="P249" s="30" t="s">
        <v>2209</v>
      </c>
      <c r="Q249" s="30"/>
      <c r="R249" s="30" t="str">
        <f>IFERROR(VLOOKUP($I249,'DB2'!$F$2:$I$50,2,0),"옛날 부서명 확인")</f>
        <v xml:space="preserve">Water Management Division </v>
      </c>
      <c r="S249" s="30" t="str">
        <f>IFERROR(VLOOKUP($I249,'DB2'!$F$2:$I$50,4,0),"옛날 부서명 확인")</f>
        <v xml:space="preserve">Land and Environment Research Group </v>
      </c>
    </row>
    <row r="250" spans="1:19" ht="22.5" customHeight="1">
      <c r="A250" s="26" t="s">
        <v>803</v>
      </c>
      <c r="B250" s="26" t="s">
        <v>22</v>
      </c>
      <c r="C250" s="31" t="s">
        <v>804</v>
      </c>
      <c r="D250" s="27" t="s">
        <v>2182</v>
      </c>
      <c r="E250" s="20"/>
      <c r="F250" s="20" t="s">
        <v>136</v>
      </c>
      <c r="G250" s="26" t="s">
        <v>137</v>
      </c>
      <c r="H250" s="20" t="s">
        <v>211</v>
      </c>
      <c r="I250" s="27" t="s">
        <v>212</v>
      </c>
      <c r="J250" s="28">
        <v>63300000</v>
      </c>
      <c r="K250" s="29">
        <v>45973</v>
      </c>
      <c r="L250" s="29">
        <v>46152</v>
      </c>
      <c r="M250" s="20" t="s">
        <v>805</v>
      </c>
      <c r="N250" s="30" t="s">
        <v>2183</v>
      </c>
      <c r="O250" s="30" t="str">
        <f>IFERROR(VLOOKUP($G250,'DB2'!$A:$B,2,0),"공동과책 확인")</f>
        <v>Han, Daeho</v>
      </c>
      <c r="P250" s="30" t="s">
        <v>2201</v>
      </c>
      <c r="Q250" s="30" t="s">
        <v>2203</v>
      </c>
      <c r="R250" s="30" t="str">
        <f>IFERROR(VLOOKUP($I250,'DB2'!$F$2:$I$50,2,0),"옛날 부서명 확인")</f>
        <v xml:space="preserve">Water Management Division </v>
      </c>
      <c r="S250" s="30" t="str">
        <f>IFERROR(VLOOKUP($I250,'DB2'!$F$2:$I$50,4,0),"옛날 부서명 확인")</f>
        <v xml:space="preserve">Land and Environment Research Group </v>
      </c>
    </row>
    <row r="251" spans="1:19" ht="22.5" hidden="1" customHeight="1">
      <c r="A251" s="19" t="s">
        <v>806</v>
      </c>
      <c r="B251" s="19" t="s">
        <v>807</v>
      </c>
      <c r="C251" s="24" t="s">
        <v>808</v>
      </c>
      <c r="D251" s="20" t="s">
        <v>809</v>
      </c>
      <c r="E251" s="20"/>
      <c r="F251" s="20" t="s">
        <v>810</v>
      </c>
      <c r="G251" s="19" t="s">
        <v>811</v>
      </c>
      <c r="H251" s="20" t="s">
        <v>812</v>
      </c>
      <c r="I251" s="20" t="s">
        <v>813</v>
      </c>
      <c r="J251" s="21">
        <v>6000000</v>
      </c>
      <c r="K251" s="22">
        <v>45537</v>
      </c>
      <c r="L251" s="22">
        <v>45716</v>
      </c>
      <c r="M251" s="20"/>
      <c r="N251" s="23"/>
      <c r="O251" s="23" t="str">
        <f>IFERROR(VLOOKUP($G251,'DB2'!$A:$B,2,0),"공동과책 확인")</f>
        <v>Hahn, Jinseok</v>
      </c>
      <c r="P251" s="23"/>
      <c r="Q251" s="23"/>
      <c r="R251" s="23" t="str">
        <f>IFERROR(VLOOKUP($I251,'DB2'!$F$2:$I$50,2,0),"옛날 부서명 확인")</f>
        <v>옛날 부서명 확인</v>
      </c>
      <c r="S251" s="23" t="str">
        <f>IFERROR(VLOOKUP($I251,'DB2'!$F$2:$I$50,4,0),"옛날 부서명 확인")</f>
        <v>옛날 부서명 확인</v>
      </c>
    </row>
    <row r="252" spans="1:19" ht="22.5" hidden="1" customHeight="1">
      <c r="A252" s="19" t="s">
        <v>814</v>
      </c>
      <c r="B252" s="19" t="s">
        <v>807</v>
      </c>
      <c r="C252" s="24" t="s">
        <v>1275</v>
      </c>
      <c r="D252" s="20" t="s">
        <v>815</v>
      </c>
      <c r="E252" s="20"/>
      <c r="F252" s="20" t="s">
        <v>816</v>
      </c>
      <c r="G252" s="19" t="s">
        <v>817</v>
      </c>
      <c r="H252" s="20" t="s">
        <v>818</v>
      </c>
      <c r="I252" s="20" t="s">
        <v>819</v>
      </c>
      <c r="J252" s="21">
        <v>3000000</v>
      </c>
      <c r="K252" s="22">
        <v>45537</v>
      </c>
      <c r="L252" s="22">
        <v>45716</v>
      </c>
      <c r="M252" s="20"/>
      <c r="N252" s="23"/>
      <c r="O252" s="23" t="str">
        <f>IFERROR(VLOOKUP($G252,'DB2'!$A:$B,2,0),"공동과책 확인")</f>
        <v>Lim, Hyesook</v>
      </c>
      <c r="P252" s="23"/>
      <c r="Q252" s="23"/>
      <c r="R252" s="23" t="str">
        <f>IFERROR(VLOOKUP($I252,'DB2'!$F$2:$I$50,2,0),"옛날 부서명 확인")</f>
        <v>옛날 부서명 확인</v>
      </c>
      <c r="S252" s="23" t="str">
        <f>IFERROR(VLOOKUP($I252,'DB2'!$F$2:$I$50,4,0),"옛날 부서명 확인")</f>
        <v>옛날 부서명 확인</v>
      </c>
    </row>
    <row r="253" spans="1:19" ht="22.5" hidden="1" customHeight="1">
      <c r="A253" s="19" t="s">
        <v>820</v>
      </c>
      <c r="B253" s="19" t="s">
        <v>807</v>
      </c>
      <c r="C253" s="24" t="s">
        <v>821</v>
      </c>
      <c r="D253" s="20" t="s">
        <v>822</v>
      </c>
      <c r="E253" s="20"/>
      <c r="F253" s="20" t="s">
        <v>823</v>
      </c>
      <c r="G253" s="19" t="s">
        <v>824</v>
      </c>
      <c r="H253" s="20" t="s">
        <v>144</v>
      </c>
      <c r="I253" s="20" t="s">
        <v>145</v>
      </c>
      <c r="J253" s="21">
        <v>3000000</v>
      </c>
      <c r="K253" s="22">
        <v>45537</v>
      </c>
      <c r="L253" s="22">
        <v>45716</v>
      </c>
      <c r="M253" s="20"/>
      <c r="N253" s="23"/>
      <c r="O253" s="23" t="str">
        <f>IFERROR(VLOOKUP($G253,'DB2'!$A:$B,2,0),"공동과책 확인")</f>
        <v xml:space="preserve">Heo, Namjoo </v>
      </c>
      <c r="P253" s="23"/>
      <c r="Q253" s="23"/>
      <c r="R253" s="23" t="str">
        <f>IFERROR(VLOOKUP($I253,'DB2'!$F$2:$I$50,2,0),"옛날 부서명 확인")</f>
        <v>옛날 부서명 확인</v>
      </c>
      <c r="S253" s="23" t="str">
        <f>IFERROR(VLOOKUP($I253,'DB2'!$F$2:$I$50,4,0),"옛날 부서명 확인")</f>
        <v>옛날 부서명 확인</v>
      </c>
    </row>
    <row r="254" spans="1:19" ht="22.5" hidden="1" customHeight="1">
      <c r="A254" s="19" t="s">
        <v>831</v>
      </c>
      <c r="B254" s="19" t="s">
        <v>807</v>
      </c>
      <c r="C254" s="24" t="s">
        <v>832</v>
      </c>
      <c r="D254" s="20" t="s">
        <v>833</v>
      </c>
      <c r="E254" s="20"/>
      <c r="F254" s="20" t="s">
        <v>810</v>
      </c>
      <c r="G254" s="19" t="s">
        <v>811</v>
      </c>
      <c r="H254" s="20" t="s">
        <v>812</v>
      </c>
      <c r="I254" s="20" t="s">
        <v>813</v>
      </c>
      <c r="J254" s="21">
        <v>15000000</v>
      </c>
      <c r="K254" s="22">
        <v>45628</v>
      </c>
      <c r="L254" s="22">
        <v>45808</v>
      </c>
      <c r="M254" s="20"/>
      <c r="N254" s="23"/>
      <c r="O254" s="23" t="str">
        <f>IFERROR(VLOOKUP($G254,'DB2'!$A:$B,2,0),"공동과책 확인")</f>
        <v>Hahn, Jinseok</v>
      </c>
      <c r="P254" s="23"/>
      <c r="Q254" s="23"/>
      <c r="R254" s="23" t="str">
        <f>IFERROR(VLOOKUP($I254,'DB2'!$F$2:$I$50,2,0),"옛날 부서명 확인")</f>
        <v>옛날 부서명 확인</v>
      </c>
      <c r="S254" s="23" t="str">
        <f>IFERROR(VLOOKUP($I254,'DB2'!$F$2:$I$50,4,0),"옛날 부서명 확인")</f>
        <v>옛날 부서명 확인</v>
      </c>
    </row>
    <row r="255" spans="1:19" ht="22.5" hidden="1" customHeight="1">
      <c r="A255" s="19" t="s">
        <v>834</v>
      </c>
      <c r="B255" s="19" t="s">
        <v>807</v>
      </c>
      <c r="C255" s="24" t="s">
        <v>835</v>
      </c>
      <c r="D255" s="20" t="s">
        <v>836</v>
      </c>
      <c r="E255" s="20"/>
      <c r="F255" s="20" t="s">
        <v>605</v>
      </c>
      <c r="G255" s="19" t="s">
        <v>606</v>
      </c>
      <c r="H255" s="20" t="s">
        <v>27</v>
      </c>
      <c r="I255" s="20" t="s">
        <v>28</v>
      </c>
      <c r="J255" s="21">
        <v>3000000</v>
      </c>
      <c r="K255" s="22">
        <v>45628</v>
      </c>
      <c r="L255" s="22">
        <v>45747</v>
      </c>
      <c r="M255" s="20"/>
      <c r="N255" s="23"/>
      <c r="O255" s="23" t="str">
        <f>IFERROR(VLOOKUP($G255,'DB2'!$A:$B,2,0),"공동과책 확인")</f>
        <v>Hong, Hyunjung</v>
      </c>
      <c r="P255" s="23"/>
      <c r="Q255" s="23"/>
      <c r="R255" s="23" t="str">
        <f>IFERROR(VLOOKUP($I255,'DB2'!$F$2:$I$50,2,0),"옛날 부서명 확인")</f>
        <v xml:space="preserve">Natural Environment Division </v>
      </c>
      <c r="S255" s="23" t="str">
        <f>IFERROR(VLOOKUP($I255,'DB2'!$F$2:$I$50,4,0),"옛날 부서명 확인")</f>
        <v xml:space="preserve">Land and Environment Research Group </v>
      </c>
    </row>
    <row r="256" spans="1:19" ht="22.5" hidden="1" customHeight="1">
      <c r="A256" s="19" t="s">
        <v>837</v>
      </c>
      <c r="B256" s="19" t="s">
        <v>807</v>
      </c>
      <c r="C256" s="24" t="s">
        <v>838</v>
      </c>
      <c r="D256" s="20" t="s">
        <v>839</v>
      </c>
      <c r="E256" s="20"/>
      <c r="F256" s="20" t="s">
        <v>840</v>
      </c>
      <c r="G256" s="19" t="s">
        <v>841</v>
      </c>
      <c r="H256" s="20" t="s">
        <v>155</v>
      </c>
      <c r="I256" s="20" t="s">
        <v>156</v>
      </c>
      <c r="J256" s="21">
        <v>3000000</v>
      </c>
      <c r="K256" s="22">
        <v>45628</v>
      </c>
      <c r="L256" s="22">
        <v>45808</v>
      </c>
      <c r="M256" s="20"/>
      <c r="N256" s="23"/>
      <c r="O256" s="23" t="str">
        <f>IFERROR(VLOOKUP($G256,'DB2'!$A:$B,2,0),"공동과책 확인")</f>
        <v xml:space="preserve"> Lim, Miyoung</v>
      </c>
      <c r="P256" s="23"/>
      <c r="Q256" s="23"/>
      <c r="R256" s="23" t="str">
        <f>IFERROR(VLOOKUP($I256,'DB2'!$F$2:$I$50,2,0),"옛날 부서명 확인")</f>
        <v xml:space="preserve">Environmental Health Division </v>
      </c>
      <c r="S256" s="23" t="str">
        <f>IFERROR(VLOOKUP($I256,'DB2'!$F$2:$I$50,4,0),"옛날 부서명 확인")</f>
        <v xml:space="preserve">Sustainable Development Research Group  </v>
      </c>
    </row>
    <row r="257" spans="1:19" ht="22.5" hidden="1" customHeight="1">
      <c r="A257" s="19" t="s">
        <v>842</v>
      </c>
      <c r="B257" s="19" t="s">
        <v>807</v>
      </c>
      <c r="C257" s="24" t="s">
        <v>843</v>
      </c>
      <c r="D257" s="20" t="s">
        <v>844</v>
      </c>
      <c r="E257" s="20"/>
      <c r="F257" s="20" t="s">
        <v>845</v>
      </c>
      <c r="G257" s="19" t="s">
        <v>846</v>
      </c>
      <c r="H257" s="20" t="s">
        <v>847</v>
      </c>
      <c r="I257" s="20" t="s">
        <v>848</v>
      </c>
      <c r="J257" s="21">
        <v>3000000</v>
      </c>
      <c r="K257" s="22">
        <v>45628</v>
      </c>
      <c r="L257" s="22">
        <v>45808</v>
      </c>
      <c r="M257" s="20"/>
      <c r="N257" s="23"/>
      <c r="O257" s="23" t="str">
        <f>IFERROR(VLOOKUP($G257,'DB2'!$A:$B,2,0),"공동과책 확인")</f>
        <v xml:space="preserve">Kim, Doyeon </v>
      </c>
      <c r="P257" s="23"/>
      <c r="Q257" s="23"/>
      <c r="R257" s="23" t="str">
        <f>IFERROR(VLOOKUP($I257,'DB2'!$F$2:$I$50,2,0),"옛날 부서명 확인")</f>
        <v>옛날 부서명 확인</v>
      </c>
      <c r="S257" s="23" t="str">
        <f>IFERROR(VLOOKUP($I257,'DB2'!$F$2:$I$50,4,0),"옛날 부서명 확인")</f>
        <v>옛날 부서명 확인</v>
      </c>
    </row>
    <row r="258" spans="1:19" ht="22.5" hidden="1" customHeight="1">
      <c r="A258" s="19" t="s">
        <v>849</v>
      </c>
      <c r="B258" s="19" t="s">
        <v>807</v>
      </c>
      <c r="C258" s="24" t="s">
        <v>850</v>
      </c>
      <c r="D258" s="20" t="s">
        <v>851</v>
      </c>
      <c r="E258" s="20"/>
      <c r="F258" s="20" t="s">
        <v>459</v>
      </c>
      <c r="G258" s="19" t="s">
        <v>460</v>
      </c>
      <c r="H258" s="20" t="s">
        <v>98</v>
      </c>
      <c r="I258" s="20" t="s">
        <v>99</v>
      </c>
      <c r="J258" s="21">
        <v>3000000</v>
      </c>
      <c r="K258" s="22">
        <v>45628</v>
      </c>
      <c r="L258" s="22">
        <v>45808</v>
      </c>
      <c r="M258" s="20"/>
      <c r="N258" s="23"/>
      <c r="O258" s="23" t="str">
        <f>IFERROR(VLOOKUP($G258,'DB2'!$A:$B,2,0),"공동과책 확인")</f>
        <v>Choi, Mikyoung</v>
      </c>
      <c r="P258" s="23"/>
      <c r="Q258" s="23"/>
      <c r="R258" s="23" t="str">
        <f>IFERROR(VLOOKUP($I258,'DB2'!$F$2:$I$50,2,0),"옛날 부서명 확인")</f>
        <v>옛날 부서명 확인</v>
      </c>
      <c r="S258" s="23" t="str">
        <f>IFERROR(VLOOKUP($I258,'DB2'!$F$2:$I$50,4,0),"옛날 부서명 확인")</f>
        <v>옛날 부서명 확인</v>
      </c>
    </row>
    <row r="259" spans="1:19" ht="22.5" hidden="1" customHeight="1">
      <c r="A259" s="19" t="s">
        <v>852</v>
      </c>
      <c r="B259" s="19" t="s">
        <v>807</v>
      </c>
      <c r="C259" s="24" t="s">
        <v>853</v>
      </c>
      <c r="D259" s="20" t="s">
        <v>854</v>
      </c>
      <c r="E259" s="20"/>
      <c r="F259" s="20" t="s">
        <v>855</v>
      </c>
      <c r="G259" s="19" t="s">
        <v>856</v>
      </c>
      <c r="H259" s="20" t="s">
        <v>60</v>
      </c>
      <c r="I259" s="20" t="s">
        <v>61</v>
      </c>
      <c r="J259" s="21">
        <v>3000000</v>
      </c>
      <c r="K259" s="22">
        <v>45628</v>
      </c>
      <c r="L259" s="22">
        <v>45808</v>
      </c>
      <c r="M259" s="20"/>
      <c r="N259" s="23"/>
      <c r="O259" s="23" t="str">
        <f>IFERROR(VLOOKUP($G259,'DB2'!$A:$B,2,0),"공동과책 확인")</f>
        <v>Kang, Eugene</v>
      </c>
      <c r="P259" s="23"/>
      <c r="Q259" s="23"/>
      <c r="R259" s="23" t="str">
        <f>IFERROR(VLOOKUP($I259,'DB2'!$F$2:$I$50,2,0),"옛날 부서명 확인")</f>
        <v>옛날 부서명 확인</v>
      </c>
      <c r="S259" s="23" t="str">
        <f>IFERROR(VLOOKUP($I259,'DB2'!$F$2:$I$50,4,0),"옛날 부서명 확인")</f>
        <v>옛날 부서명 확인</v>
      </c>
    </row>
    <row r="260" spans="1:19" ht="22.5" hidden="1" customHeight="1">
      <c r="A260" s="19" t="s">
        <v>872</v>
      </c>
      <c r="B260" s="19" t="s">
        <v>807</v>
      </c>
      <c r="C260" s="24" t="s">
        <v>873</v>
      </c>
      <c r="D260" s="20" t="s">
        <v>874</v>
      </c>
      <c r="E260" s="20"/>
      <c r="F260" s="20" t="s">
        <v>810</v>
      </c>
      <c r="G260" s="19" t="s">
        <v>811</v>
      </c>
      <c r="H260" s="20" t="s">
        <v>364</v>
      </c>
      <c r="I260" s="20" t="s">
        <v>204</v>
      </c>
      <c r="J260" s="21">
        <v>9000000</v>
      </c>
      <c r="K260" s="22">
        <v>45720</v>
      </c>
      <c r="L260" s="22">
        <v>45903</v>
      </c>
      <c r="M260" s="20"/>
      <c r="N260" s="23"/>
      <c r="O260" s="23" t="str">
        <f>IFERROR(VLOOKUP($G260,'DB2'!$A:$B,2,0),"공동과책 확인")</f>
        <v>Hahn, Jinseok</v>
      </c>
      <c r="P260" s="23"/>
      <c r="Q260" s="23"/>
      <c r="R260" s="23" t="str">
        <f>IFERROR(VLOOKUP($I260,'DB2'!$F$2:$I$50,2,0),"옛날 부서명 확인")</f>
        <v>Atmospheric Environment Division</v>
      </c>
      <c r="S260" s="23" t="str">
        <f>IFERROR(VLOOKUP($I260,'DB2'!$F$2:$I$50,4,0),"옛날 부서명 확인")</f>
        <v xml:space="preserve">Climate and Atmospheric Strategy Research Group  </v>
      </c>
    </row>
    <row r="261" spans="1:19" ht="22.5" hidden="1" customHeight="1">
      <c r="A261" s="19" t="s">
        <v>886</v>
      </c>
      <c r="B261" s="19" t="s">
        <v>807</v>
      </c>
      <c r="C261" s="24" t="s">
        <v>887</v>
      </c>
      <c r="D261" s="20" t="s">
        <v>888</v>
      </c>
      <c r="E261" s="20"/>
      <c r="F261" s="20" t="s">
        <v>810</v>
      </c>
      <c r="G261" s="19" t="s">
        <v>811</v>
      </c>
      <c r="H261" s="20" t="s">
        <v>364</v>
      </c>
      <c r="I261" s="20" t="s">
        <v>204</v>
      </c>
      <c r="J261" s="21">
        <v>6000000</v>
      </c>
      <c r="K261" s="22">
        <v>45810</v>
      </c>
      <c r="L261" s="22">
        <v>45992</v>
      </c>
      <c r="M261" s="20"/>
      <c r="N261" s="23"/>
      <c r="O261" s="23" t="str">
        <f>IFERROR(VLOOKUP($G261,'DB2'!$A:$B,2,0),"공동과책 확인")</f>
        <v>Hahn, Jinseok</v>
      </c>
      <c r="P261" s="23"/>
      <c r="Q261" s="23"/>
      <c r="R261" s="23" t="str">
        <f>IFERROR(VLOOKUP($I261,'DB2'!$F$2:$I$50,2,0),"옛날 부서명 확인")</f>
        <v>Atmospheric Environment Division</v>
      </c>
      <c r="S261" s="23" t="str">
        <f>IFERROR(VLOOKUP($I261,'DB2'!$F$2:$I$50,4,0),"옛날 부서명 확인")</f>
        <v xml:space="preserve">Climate and Atmospheric Strategy Research Group  </v>
      </c>
    </row>
    <row r="262" spans="1:19" ht="22.5" customHeight="1">
      <c r="A262" s="26" t="s">
        <v>897</v>
      </c>
      <c r="B262" s="26" t="s">
        <v>807</v>
      </c>
      <c r="C262" s="31" t="s">
        <v>898</v>
      </c>
      <c r="D262" s="27" t="s">
        <v>2184</v>
      </c>
      <c r="E262" s="20"/>
      <c r="F262" s="20" t="s">
        <v>899</v>
      </c>
      <c r="G262" s="26" t="s">
        <v>900</v>
      </c>
      <c r="H262" s="20" t="s">
        <v>901</v>
      </c>
      <c r="I262" s="27" t="s">
        <v>902</v>
      </c>
      <c r="J262" s="28">
        <v>6000000</v>
      </c>
      <c r="K262" s="29">
        <v>45901</v>
      </c>
      <c r="L262" s="29">
        <v>46081</v>
      </c>
      <c r="M262" s="20"/>
      <c r="N262" s="30" t="s">
        <v>2210</v>
      </c>
      <c r="O262" s="30" t="str">
        <f>IFERROR(VLOOKUP($G262,'DB2'!$A:$B,2,0),"공동과책 확인")</f>
        <v>Park, Jongyoon</v>
      </c>
      <c r="P262" s="30"/>
      <c r="Q262" s="30"/>
      <c r="R262" s="30"/>
      <c r="S262" s="30"/>
    </row>
    <row r="263" spans="1:19" ht="22.5" customHeight="1">
      <c r="A263" s="26" t="s">
        <v>903</v>
      </c>
      <c r="B263" s="26" t="s">
        <v>807</v>
      </c>
      <c r="C263" s="31" t="s">
        <v>904</v>
      </c>
      <c r="D263" s="27" t="s">
        <v>2185</v>
      </c>
      <c r="E263" s="20"/>
      <c r="F263" s="20" t="s">
        <v>905</v>
      </c>
      <c r="G263" s="26" t="s">
        <v>906</v>
      </c>
      <c r="H263" s="20" t="s">
        <v>907</v>
      </c>
      <c r="I263" s="27" t="s">
        <v>908</v>
      </c>
      <c r="J263" s="28">
        <v>3000000</v>
      </c>
      <c r="K263" s="29">
        <v>45901</v>
      </c>
      <c r="L263" s="29">
        <v>46081</v>
      </c>
      <c r="M263" s="20"/>
      <c r="N263" s="30" t="s">
        <v>2211</v>
      </c>
      <c r="O263" s="30" t="str">
        <f>IFERROR(VLOOKUP($G263,'DB2'!$A:$B,2,0),"공동과책 확인")</f>
        <v>Jung, Sungwoon</v>
      </c>
      <c r="P263" s="30"/>
      <c r="Q263" s="30"/>
      <c r="R263" s="30" t="str">
        <f>IFERROR(VLOOKUP($I263,'DB2'!$F$2:$I$50,2,0),"옛날 부서명 확인")</f>
        <v>Global Cooperation Team</v>
      </c>
      <c r="S263" s="30" t="str">
        <f>IFERROR(VLOOKUP($I263,'DB2'!$F$2:$I$50,4,0),"옛날 부서명 확인")</f>
        <v xml:space="preserve">Department of Planning and Strategy </v>
      </c>
    </row>
    <row r="264" spans="1:19" ht="22.5" customHeight="1">
      <c r="A264" s="26" t="s">
        <v>909</v>
      </c>
      <c r="B264" s="26" t="s">
        <v>807</v>
      </c>
      <c r="C264" s="31" t="s">
        <v>910</v>
      </c>
      <c r="D264" s="27" t="s">
        <v>2187</v>
      </c>
      <c r="E264" s="20"/>
      <c r="F264" s="20" t="s">
        <v>911</v>
      </c>
      <c r="G264" s="26" t="s">
        <v>912</v>
      </c>
      <c r="H264" s="20" t="s">
        <v>211</v>
      </c>
      <c r="I264" s="27" t="s">
        <v>212</v>
      </c>
      <c r="J264" s="28">
        <v>3000000</v>
      </c>
      <c r="K264" s="29">
        <v>45901</v>
      </c>
      <c r="L264" s="29">
        <v>46081</v>
      </c>
      <c r="M264" s="20"/>
      <c r="N264" s="30" t="s">
        <v>2211</v>
      </c>
      <c r="O264" s="30" t="str">
        <f>IFERROR(VLOOKUP($G264,'DB2'!$A:$B,2,0),"공동과책 확인")</f>
        <v xml:space="preserve">Sung, Kyungmin </v>
      </c>
      <c r="P264" s="30"/>
      <c r="Q264" s="30"/>
      <c r="R264" s="30" t="str">
        <f>IFERROR(VLOOKUP($I264,'DB2'!$F$2:$I$50,2,0),"옛날 부서명 확인")</f>
        <v xml:space="preserve">Water Management Division </v>
      </c>
      <c r="S264" s="30" t="str">
        <f>IFERROR(VLOOKUP($I264,'DB2'!$F$2:$I$50,4,0),"옛날 부서명 확인")</f>
        <v xml:space="preserve">Land and Environment Research Group </v>
      </c>
    </row>
    <row r="265" spans="1:19" ht="22.5" customHeight="1">
      <c r="A265" s="26" t="s">
        <v>913</v>
      </c>
      <c r="B265" s="26" t="s">
        <v>807</v>
      </c>
      <c r="C265" s="31" t="s">
        <v>914</v>
      </c>
      <c r="D265" s="27" t="s">
        <v>2189</v>
      </c>
      <c r="E265" s="20"/>
      <c r="F265" s="20" t="s">
        <v>905</v>
      </c>
      <c r="G265" s="26" t="s">
        <v>906</v>
      </c>
      <c r="H265" s="20" t="s">
        <v>907</v>
      </c>
      <c r="I265" s="27" t="s">
        <v>908</v>
      </c>
      <c r="J265" s="28">
        <v>2000000</v>
      </c>
      <c r="K265" s="29">
        <v>45901</v>
      </c>
      <c r="L265" s="29">
        <v>46022</v>
      </c>
      <c r="M265" s="20"/>
      <c r="N265" s="30" t="s">
        <v>2186</v>
      </c>
      <c r="O265" s="30" t="str">
        <f>IFERROR(VLOOKUP($G265,'DB2'!$A:$B,2,0),"공동과책 확인")</f>
        <v>Jung, Sungwoon</v>
      </c>
      <c r="P265" s="30" t="s">
        <v>2208</v>
      </c>
      <c r="Q265" s="30"/>
      <c r="R265" s="30" t="str">
        <f>IFERROR(VLOOKUP($I265,'DB2'!$F$2:$I$50,2,0),"옛날 부서명 확인")</f>
        <v>Global Cooperation Team</v>
      </c>
      <c r="S265" s="30" t="str">
        <f>IFERROR(VLOOKUP($I265,'DB2'!$F$2:$I$50,4,0),"옛날 부서명 확인")</f>
        <v xml:space="preserve">Department of Planning and Strategy </v>
      </c>
    </row>
    <row r="266" spans="1:19" ht="22.5" customHeight="1">
      <c r="A266" s="26" t="s">
        <v>915</v>
      </c>
      <c r="B266" s="26" t="s">
        <v>807</v>
      </c>
      <c r="C266" s="31" t="s">
        <v>916</v>
      </c>
      <c r="D266" s="27" t="s">
        <v>917</v>
      </c>
      <c r="E266" s="20"/>
      <c r="F266" s="20" t="s">
        <v>911</v>
      </c>
      <c r="G266" s="26" t="s">
        <v>912</v>
      </c>
      <c r="H266" s="20" t="s">
        <v>211</v>
      </c>
      <c r="I266" s="27" t="s">
        <v>212</v>
      </c>
      <c r="J266" s="28">
        <v>2000000</v>
      </c>
      <c r="K266" s="29">
        <v>45901</v>
      </c>
      <c r="L266" s="29">
        <v>46022</v>
      </c>
      <c r="M266" s="20"/>
      <c r="N266" s="30" t="s">
        <v>2188</v>
      </c>
      <c r="O266" s="30" t="str">
        <f>IFERROR(VLOOKUP($G266,'DB2'!$A:$B,2,0),"공동과책 확인")</f>
        <v xml:space="preserve">Sung, Kyungmin </v>
      </c>
      <c r="P266" s="30" t="s">
        <v>2209</v>
      </c>
      <c r="Q266" s="30" t="s">
        <v>2201</v>
      </c>
      <c r="R266" s="30" t="str">
        <f>IFERROR(VLOOKUP($I266,'DB2'!$F$2:$I$50,2,0),"옛날 부서명 확인")</f>
        <v xml:space="preserve">Water Management Division </v>
      </c>
      <c r="S266" s="30" t="str">
        <f>IFERROR(VLOOKUP($I266,'DB2'!$F$2:$I$50,4,0),"옛날 부서명 확인")</f>
        <v xml:space="preserve">Land and Environment Research Group </v>
      </c>
    </row>
    <row r="267" spans="1:19" ht="22.5" hidden="1" customHeight="1">
      <c r="A267" s="19" t="s">
        <v>960</v>
      </c>
      <c r="B267" s="19" t="s">
        <v>921</v>
      </c>
      <c r="C267" s="24" t="s">
        <v>961</v>
      </c>
      <c r="D267" s="20" t="s">
        <v>962</v>
      </c>
      <c r="E267" s="20"/>
      <c r="F267" s="20" t="s">
        <v>963</v>
      </c>
      <c r="G267" s="19" t="s">
        <v>964</v>
      </c>
      <c r="H267" s="20" t="s">
        <v>965</v>
      </c>
      <c r="I267" s="20" t="s">
        <v>966</v>
      </c>
      <c r="J267" s="21">
        <v>135000000</v>
      </c>
      <c r="K267" s="22">
        <v>45658</v>
      </c>
      <c r="L267" s="22">
        <v>46022</v>
      </c>
      <c r="M267" s="20"/>
      <c r="N267" s="23"/>
      <c r="O267" s="23" t="str">
        <f>IFERROR(VLOOKUP($G267,'DB2'!$A:$B,2,0),"공동과책 확인")</f>
        <v>Cheon, Jaehong</v>
      </c>
      <c r="P267" s="23"/>
      <c r="Q267" s="23"/>
      <c r="R267" s="23" t="str">
        <f>IFERROR(VLOOKUP($I267,'DB2'!$F$2:$I$50,2,0),"옛날 부서명 확인")</f>
        <v>옛날 부서명 확인</v>
      </c>
      <c r="S267" s="23" t="str">
        <f>IFERROR(VLOOKUP($I267,'DB2'!$F$2:$I$50,4,0),"옛날 부서명 확인")</f>
        <v>옛날 부서명 확인</v>
      </c>
    </row>
    <row r="268" spans="1:19" ht="22.5" hidden="1" customHeight="1">
      <c r="A268" s="19" t="s">
        <v>967</v>
      </c>
      <c r="B268" s="19" t="s">
        <v>921</v>
      </c>
      <c r="C268" s="24" t="s">
        <v>968</v>
      </c>
      <c r="D268" s="20" t="s">
        <v>969</v>
      </c>
      <c r="E268" s="20"/>
      <c r="F268" s="20" t="s">
        <v>963</v>
      </c>
      <c r="G268" s="19" t="s">
        <v>964</v>
      </c>
      <c r="H268" s="20" t="s">
        <v>965</v>
      </c>
      <c r="I268" s="20" t="s">
        <v>966</v>
      </c>
      <c r="J268" s="21">
        <v>65775000</v>
      </c>
      <c r="K268" s="22">
        <v>45658</v>
      </c>
      <c r="L268" s="22">
        <v>46022</v>
      </c>
      <c r="M268" s="20"/>
      <c r="N268" s="23"/>
      <c r="O268" s="23" t="str">
        <f>IFERROR(VLOOKUP($G268,'DB2'!$A:$B,2,0),"공동과책 확인")</f>
        <v>Cheon, Jaehong</v>
      </c>
      <c r="P268" s="23"/>
      <c r="Q268" s="23"/>
      <c r="R268" s="23" t="str">
        <f>IFERROR(VLOOKUP($I268,'DB2'!$F$2:$I$50,2,0),"옛날 부서명 확인")</f>
        <v>옛날 부서명 확인</v>
      </c>
      <c r="S268" s="23" t="str">
        <f>IFERROR(VLOOKUP($I268,'DB2'!$F$2:$I$50,4,0),"옛날 부서명 확인")</f>
        <v>옛날 부서명 확인</v>
      </c>
    </row>
    <row r="269" spans="1:19" ht="22.5" hidden="1" customHeight="1">
      <c r="A269" s="19" t="s">
        <v>970</v>
      </c>
      <c r="B269" s="19" t="s">
        <v>22</v>
      </c>
      <c r="C269" s="24" t="s">
        <v>971</v>
      </c>
      <c r="D269" s="20" t="s">
        <v>972</v>
      </c>
      <c r="E269" s="20"/>
      <c r="F269" s="20" t="s">
        <v>516</v>
      </c>
      <c r="G269" s="19" t="s">
        <v>517</v>
      </c>
      <c r="H269" s="20" t="s">
        <v>518</v>
      </c>
      <c r="I269" s="20" t="s">
        <v>519</v>
      </c>
      <c r="J269" s="21">
        <v>38549690</v>
      </c>
      <c r="K269" s="22">
        <v>45658</v>
      </c>
      <c r="L269" s="22">
        <v>46022</v>
      </c>
      <c r="M269" s="20" t="s">
        <v>973</v>
      </c>
      <c r="N269" s="23"/>
      <c r="O269" s="23" t="str">
        <f>IFERROR(VLOOKUP($G269,'DB2'!$A:$B,2,0),"공동과책 확인")</f>
        <v>Lee, Sangbum</v>
      </c>
      <c r="P269" s="23"/>
      <c r="Q269" s="23"/>
      <c r="R269" s="23" t="str">
        <f>IFERROR(VLOOKUP($I269,'DB2'!$F$2:$I$50,2,0),"옛날 부서명 확인")</f>
        <v xml:space="preserve">Environmental Assessment Group </v>
      </c>
      <c r="S269" s="23" t="str">
        <f>IFERROR(VLOOKUP($I269,'DB2'!$F$2:$I$50,4,0),"옛날 부서명 확인")</f>
        <v xml:space="preserve">Environmental Assessment Group </v>
      </c>
    </row>
    <row r="270" spans="1:19" ht="22.5" hidden="1" customHeight="1">
      <c r="A270" s="19" t="s">
        <v>974</v>
      </c>
      <c r="B270" s="19" t="s">
        <v>22</v>
      </c>
      <c r="C270" s="24" t="s">
        <v>975</v>
      </c>
      <c r="D270" s="20" t="s">
        <v>976</v>
      </c>
      <c r="E270" s="20"/>
      <c r="F270" s="20" t="s">
        <v>516</v>
      </c>
      <c r="G270" s="19" t="s">
        <v>517</v>
      </c>
      <c r="H270" s="20" t="s">
        <v>518</v>
      </c>
      <c r="I270" s="20" t="s">
        <v>519</v>
      </c>
      <c r="J270" s="21">
        <v>20000000</v>
      </c>
      <c r="K270" s="22">
        <v>45658</v>
      </c>
      <c r="L270" s="22">
        <v>46022</v>
      </c>
      <c r="M270" s="20" t="s">
        <v>109</v>
      </c>
      <c r="N270" s="23"/>
      <c r="O270" s="23" t="str">
        <f>IFERROR(VLOOKUP($G270,'DB2'!$A:$B,2,0),"공동과책 확인")</f>
        <v>Lee, Sangbum</v>
      </c>
      <c r="P270" s="23"/>
      <c r="Q270" s="23"/>
      <c r="R270" s="23" t="str">
        <f>IFERROR(VLOOKUP($I270,'DB2'!$F$2:$I$50,2,0),"옛날 부서명 확인")</f>
        <v xml:space="preserve">Environmental Assessment Group </v>
      </c>
      <c r="S270" s="23" t="str">
        <f>IFERROR(VLOOKUP($I270,'DB2'!$F$2:$I$50,4,0),"옛날 부서명 확인")</f>
        <v xml:space="preserve">Environmental Assessment Group </v>
      </c>
    </row>
    <row r="271" spans="1:19" ht="22.5" customHeight="1">
      <c r="A271" s="26" t="s">
        <v>977</v>
      </c>
      <c r="B271" s="26" t="s">
        <v>22</v>
      </c>
      <c r="C271" s="31" t="s">
        <v>978</v>
      </c>
      <c r="D271" s="27" t="s">
        <v>979</v>
      </c>
      <c r="E271" s="20"/>
      <c r="F271" s="20" t="s">
        <v>924</v>
      </c>
      <c r="G271" s="26" t="s">
        <v>925</v>
      </c>
      <c r="H271" s="20" t="s">
        <v>907</v>
      </c>
      <c r="I271" s="27" t="s">
        <v>908</v>
      </c>
      <c r="J271" s="28">
        <v>7790250</v>
      </c>
      <c r="K271" s="29">
        <v>45870</v>
      </c>
      <c r="L271" s="29">
        <v>46081</v>
      </c>
      <c r="M271" s="20" t="s">
        <v>980</v>
      </c>
      <c r="N271" s="30" t="s">
        <v>2212</v>
      </c>
      <c r="O271" s="30" t="str">
        <f>IFERROR(VLOOKUP($G271,'DB2'!$A:$B,2,0),"공동과책 확인")</f>
        <v>Park, Jun Hyun</v>
      </c>
      <c r="P271" s="30"/>
      <c r="Q271" s="30"/>
      <c r="R271" s="30" t="str">
        <f>IFERROR(VLOOKUP($I271,'DB2'!$F$2:$I$50,2,0),"옛날 부서명 확인")</f>
        <v>Global Cooperation Team</v>
      </c>
      <c r="S271" s="30" t="str">
        <f>IFERROR(VLOOKUP($I271,'DB2'!$F$2:$I$50,4,0),"옛날 부서명 확인")</f>
        <v xml:space="preserve">Department of Planning and Strategy </v>
      </c>
    </row>
    <row r="272" spans="1:19" ht="22.5" hidden="1" customHeight="1">
      <c r="A272" s="19" t="s">
        <v>981</v>
      </c>
      <c r="B272" s="19" t="s">
        <v>22</v>
      </c>
      <c r="C272" s="24" t="s">
        <v>982</v>
      </c>
      <c r="D272" s="20" t="s">
        <v>983</v>
      </c>
      <c r="E272" s="20"/>
      <c r="F272" s="20" t="s">
        <v>516</v>
      </c>
      <c r="G272" s="19" t="s">
        <v>517</v>
      </c>
      <c r="H272" s="20" t="s">
        <v>518</v>
      </c>
      <c r="I272" s="20" t="s">
        <v>519</v>
      </c>
      <c r="J272" s="21">
        <v>13700000</v>
      </c>
      <c r="K272" s="22">
        <v>45658</v>
      </c>
      <c r="L272" s="22">
        <v>46022</v>
      </c>
      <c r="M272" s="20" t="s">
        <v>984</v>
      </c>
      <c r="N272" s="23"/>
      <c r="O272" s="23" t="str">
        <f>IFERROR(VLOOKUP($G272,'DB2'!$A:$B,2,0),"공동과책 확인")</f>
        <v>Lee, Sangbum</v>
      </c>
      <c r="P272" s="23"/>
      <c r="Q272" s="23"/>
      <c r="R272" s="23" t="str">
        <f>IFERROR(VLOOKUP($I272,'DB2'!$F$2:$I$50,2,0),"옛날 부서명 확인")</f>
        <v xml:space="preserve">Environmental Assessment Group </v>
      </c>
      <c r="S272" s="23" t="str">
        <f>IFERROR(VLOOKUP($I272,'DB2'!$F$2:$I$50,4,0),"옛날 부서명 확인")</f>
        <v xml:space="preserve">Environmental Assessment Group </v>
      </c>
    </row>
    <row r="273" spans="1:19" ht="22.5" hidden="1" customHeight="1">
      <c r="A273" s="19" t="s">
        <v>985</v>
      </c>
      <c r="B273" s="19" t="s">
        <v>986</v>
      </c>
      <c r="C273" s="24" t="s">
        <v>987</v>
      </c>
      <c r="D273" s="20" t="s">
        <v>988</v>
      </c>
      <c r="E273" s="20"/>
      <c r="F273" s="20" t="s">
        <v>989</v>
      </c>
      <c r="G273" s="19" t="s">
        <v>990</v>
      </c>
      <c r="H273" s="20" t="s">
        <v>991</v>
      </c>
      <c r="I273" s="20" t="s">
        <v>992</v>
      </c>
      <c r="J273" s="21">
        <v>167000000</v>
      </c>
      <c r="K273" s="22">
        <v>45383</v>
      </c>
      <c r="L273" s="22">
        <v>45747</v>
      </c>
      <c r="M273" s="20"/>
      <c r="N273" s="23"/>
      <c r="O273" s="23" t="str">
        <f>IFERROR(VLOOKUP($G273,'DB2'!$A:$B,2,0),"공동과책 확인")</f>
        <v>Lee, Youngsun</v>
      </c>
      <c r="P273" s="23"/>
      <c r="Q273" s="23"/>
      <c r="R273" s="23" t="str">
        <f>IFERROR(VLOOKUP($I273,'DB2'!$F$2:$I$50,2,0),"옛날 부서명 확인")</f>
        <v>옛날 부서명 확인</v>
      </c>
      <c r="S273" s="23" t="str">
        <f>IFERROR(VLOOKUP($I273,'DB2'!$F$2:$I$50,4,0),"옛날 부서명 확인")</f>
        <v>옛날 부서명 확인</v>
      </c>
    </row>
    <row r="274" spans="1:19" ht="22.5" hidden="1" customHeight="1">
      <c r="A274" s="19" t="s">
        <v>993</v>
      </c>
      <c r="B274" s="19" t="s">
        <v>986</v>
      </c>
      <c r="C274" s="24" t="s">
        <v>994</v>
      </c>
      <c r="D274" s="20" t="s">
        <v>988</v>
      </c>
      <c r="E274" s="20"/>
      <c r="F274" s="20" t="s">
        <v>995</v>
      </c>
      <c r="G274" s="19" t="s">
        <v>996</v>
      </c>
      <c r="H274" s="20" t="s">
        <v>997</v>
      </c>
      <c r="I274" s="20" t="s">
        <v>992</v>
      </c>
      <c r="J274" s="21">
        <v>160000000</v>
      </c>
      <c r="K274" s="22">
        <v>45748</v>
      </c>
      <c r="L274" s="22">
        <v>46112</v>
      </c>
      <c r="M274" s="20"/>
      <c r="N274" s="23"/>
      <c r="O274" s="23" t="str">
        <f>IFERROR(VLOOKUP($G274,'DB2'!$A:$B,2,0),"공동과책 확인")</f>
        <v>Kim, Yonggu</v>
      </c>
      <c r="P274" s="23"/>
      <c r="Q274" s="23"/>
      <c r="R274" s="23" t="str">
        <f>IFERROR(VLOOKUP($I274,'DB2'!$F$2:$I$50,2,0),"옛날 부서명 확인")</f>
        <v>옛날 부서명 확인</v>
      </c>
      <c r="S274" s="23" t="str">
        <f>IFERROR(VLOOKUP($I274,'DB2'!$F$2:$I$50,4,0),"옛날 부서명 확인")</f>
        <v>옛날 부서명 확인</v>
      </c>
    </row>
    <row r="275" spans="1:19" ht="22.5" hidden="1" customHeight="1">
      <c r="A275" s="19" t="s">
        <v>998</v>
      </c>
      <c r="B275" s="19" t="s">
        <v>986</v>
      </c>
      <c r="C275" s="24" t="s">
        <v>999</v>
      </c>
      <c r="D275" s="20" t="s">
        <v>1000</v>
      </c>
      <c r="E275" s="20"/>
      <c r="F275" s="20" t="s">
        <v>1001</v>
      </c>
      <c r="G275" s="19" t="s">
        <v>1002</v>
      </c>
      <c r="H275" s="20" t="s">
        <v>1003</v>
      </c>
      <c r="I275" s="20" t="s">
        <v>69</v>
      </c>
      <c r="J275" s="21">
        <v>30000000</v>
      </c>
      <c r="K275" s="22">
        <v>45778</v>
      </c>
      <c r="L275" s="22">
        <v>46022</v>
      </c>
      <c r="M275" s="20"/>
      <c r="N275" s="23"/>
      <c r="O275" s="23" t="str">
        <f>IFERROR(VLOOKUP($G275,'DB2'!$A:$B,2,0),"공동과책 확인")</f>
        <v>Hong, Je-woo</v>
      </c>
      <c r="P275" s="23"/>
      <c r="Q275" s="23"/>
      <c r="R275" s="23" t="str">
        <f>IFERROR(VLOOKUP($I275,'DB2'!$F$2:$I$50,2,0),"옛날 부서명 확인")</f>
        <v>Performance Management Team</v>
      </c>
      <c r="S275" s="23" t="str">
        <f>IFERROR(VLOOKUP($I275,'DB2'!$F$2:$I$50,4,0),"옛날 부서명 확인")</f>
        <v xml:space="preserve">Department of Planning and Strategy </v>
      </c>
    </row>
    <row r="276" spans="1:19" ht="22.5" hidden="1" customHeight="1">
      <c r="A276" s="19" t="s">
        <v>1062</v>
      </c>
      <c r="B276" s="19" t="s">
        <v>986</v>
      </c>
      <c r="C276" s="24" t="s">
        <v>1063</v>
      </c>
      <c r="D276" s="20" t="s">
        <v>1064</v>
      </c>
      <c r="E276" s="20"/>
      <c r="F276" s="20" t="s">
        <v>963</v>
      </c>
      <c r="G276" s="19" t="s">
        <v>964</v>
      </c>
      <c r="H276" s="20" t="s">
        <v>965</v>
      </c>
      <c r="I276" s="20" t="s">
        <v>966</v>
      </c>
      <c r="J276" s="21">
        <v>70000000</v>
      </c>
      <c r="K276" s="22">
        <v>45536</v>
      </c>
      <c r="L276" s="22">
        <v>45808</v>
      </c>
      <c r="M276" s="20"/>
      <c r="N276" s="23"/>
      <c r="O276" s="23" t="str">
        <f>IFERROR(VLOOKUP($G276,'DB2'!$A:$B,2,0),"공동과책 확인")</f>
        <v>Cheon, Jaehong</v>
      </c>
      <c r="P276" s="23"/>
      <c r="Q276" s="23"/>
      <c r="R276" s="23" t="str">
        <f>IFERROR(VLOOKUP($I276,'DB2'!$F$2:$I$50,2,0),"옛날 부서명 확인")</f>
        <v>옛날 부서명 확인</v>
      </c>
      <c r="S276" s="23" t="str">
        <f>IFERROR(VLOOKUP($I276,'DB2'!$F$2:$I$50,4,0),"옛날 부서명 확인")</f>
        <v>옛날 부서명 확인</v>
      </c>
    </row>
    <row r="277" spans="1:19" ht="22.5" hidden="1" customHeight="1">
      <c r="A277" s="19" t="s">
        <v>1075</v>
      </c>
      <c r="B277" s="19" t="s">
        <v>986</v>
      </c>
      <c r="C277" s="24" t="s">
        <v>1076</v>
      </c>
      <c r="D277" s="20" t="s">
        <v>1077</v>
      </c>
      <c r="E277" s="20"/>
      <c r="F277" s="20" t="s">
        <v>963</v>
      </c>
      <c r="G277" s="19" t="s">
        <v>964</v>
      </c>
      <c r="H277" s="20" t="s">
        <v>965</v>
      </c>
      <c r="I277" s="20" t="s">
        <v>966</v>
      </c>
      <c r="J277" s="21">
        <v>99986000</v>
      </c>
      <c r="K277" s="22">
        <v>45778</v>
      </c>
      <c r="L277" s="22">
        <v>46142</v>
      </c>
      <c r="M277" s="20"/>
      <c r="N277" s="23"/>
      <c r="O277" s="23" t="str">
        <f>IFERROR(VLOOKUP($G277,'DB2'!$A:$B,2,0),"공동과책 확인")</f>
        <v>Cheon, Jaehong</v>
      </c>
      <c r="P277" s="23"/>
      <c r="Q277" s="23"/>
      <c r="R277" s="23" t="str">
        <f>IFERROR(VLOOKUP($I277,'DB2'!$F$2:$I$50,2,0),"옛날 부서명 확인")</f>
        <v>옛날 부서명 확인</v>
      </c>
      <c r="S277" s="23" t="str">
        <f>IFERROR(VLOOKUP($I277,'DB2'!$F$2:$I$50,4,0),"옛날 부서명 확인")</f>
        <v>옛날 부서명 확인</v>
      </c>
    </row>
    <row r="278" spans="1:19" ht="22.5" hidden="1" customHeight="1">
      <c r="A278" s="19" t="s">
        <v>1127</v>
      </c>
      <c r="B278" s="19" t="s">
        <v>986</v>
      </c>
      <c r="C278" s="24" t="s">
        <v>1128</v>
      </c>
      <c r="D278" s="20" t="s">
        <v>1129</v>
      </c>
      <c r="E278" s="20"/>
      <c r="F278" s="20" t="s">
        <v>66</v>
      </c>
      <c r="G278" s="19" t="s">
        <v>67</v>
      </c>
      <c r="H278" s="20" t="s">
        <v>68</v>
      </c>
      <c r="I278" s="20" t="s">
        <v>69</v>
      </c>
      <c r="J278" s="21">
        <v>107800000</v>
      </c>
      <c r="K278" s="22">
        <v>45413</v>
      </c>
      <c r="L278" s="22">
        <v>45777</v>
      </c>
      <c r="M278" s="20"/>
      <c r="N278" s="23"/>
      <c r="O278" s="23" t="str">
        <f>IFERROR(VLOOKUP($G278,'DB2'!$A:$B,2,0),"공동과책 확인")</f>
        <v xml:space="preserve">Jung, Kichul </v>
      </c>
      <c r="P278" s="23"/>
      <c r="Q278" s="23"/>
      <c r="R278" s="23" t="str">
        <f>IFERROR(VLOOKUP($I278,'DB2'!$F$2:$I$50,2,0),"옛날 부서명 확인")</f>
        <v>Performance Management Team</v>
      </c>
      <c r="S278" s="23" t="str">
        <f>IFERROR(VLOOKUP($I278,'DB2'!$F$2:$I$50,4,0),"옛날 부서명 확인")</f>
        <v xml:space="preserve">Department of Planning and Strategy </v>
      </c>
    </row>
    <row r="279" spans="1:19" ht="22.5" hidden="1" customHeight="1">
      <c r="A279" s="19" t="s">
        <v>1164</v>
      </c>
      <c r="B279" s="19" t="s">
        <v>986</v>
      </c>
      <c r="C279" s="24" t="s">
        <v>1165</v>
      </c>
      <c r="D279" s="20" t="s">
        <v>1166</v>
      </c>
      <c r="E279" s="20"/>
      <c r="F279" s="20" t="s">
        <v>1167</v>
      </c>
      <c r="G279" s="19" t="s">
        <v>1168</v>
      </c>
      <c r="H279" s="20" t="s">
        <v>1169</v>
      </c>
      <c r="I279" s="20" t="s">
        <v>1170</v>
      </c>
      <c r="J279" s="21">
        <v>38800000</v>
      </c>
      <c r="K279" s="22">
        <v>45778</v>
      </c>
      <c r="L279" s="22">
        <v>46022</v>
      </c>
      <c r="M279" s="20"/>
      <c r="N279" s="23"/>
      <c r="O279" s="23" t="str">
        <f>IFERROR(VLOOKUP($G279,'DB2'!$A:$B,2,0),"공동과책 확인")</f>
        <v>Kim, Dae Sik</v>
      </c>
      <c r="P279" s="23"/>
      <c r="Q279" s="23"/>
      <c r="R279" s="23" t="str">
        <f>IFERROR(VLOOKUP($I279,'DB2'!$F$2:$I$50,2,0),"옛날 부서명 확인")</f>
        <v>옛날 부서명 확인</v>
      </c>
      <c r="S279" s="23" t="str">
        <f>IFERROR(VLOOKUP($I279,'DB2'!$F$2:$I$50,4,0),"옛날 부서명 확인")</f>
        <v>옛날 부서명 확인</v>
      </c>
    </row>
    <row r="280" spans="1:19" ht="22.5" hidden="1" customHeight="1">
      <c r="A280" s="19" t="s">
        <v>1171</v>
      </c>
      <c r="B280" s="19" t="s">
        <v>1172</v>
      </c>
      <c r="C280" s="24" t="s">
        <v>1173</v>
      </c>
      <c r="D280" s="20" t="s">
        <v>1174</v>
      </c>
      <c r="E280" s="20"/>
      <c r="F280" s="20" t="s">
        <v>1175</v>
      </c>
      <c r="G280" s="19" t="s">
        <v>1176</v>
      </c>
      <c r="H280" s="20" t="s">
        <v>1177</v>
      </c>
      <c r="I280" s="20" t="s">
        <v>1178</v>
      </c>
      <c r="J280" s="21">
        <v>65044000</v>
      </c>
      <c r="K280" s="22">
        <v>45658</v>
      </c>
      <c r="L280" s="22">
        <v>46022</v>
      </c>
      <c r="M280" s="20"/>
      <c r="N280" s="23"/>
      <c r="O280" s="23" t="str">
        <f>IFERROR(VLOOKUP($G280,'DB2'!$A:$B,2,0),"공동과책 확인")</f>
        <v>Yum, Jung-yoon</v>
      </c>
      <c r="P280" s="23"/>
      <c r="Q280" s="23"/>
      <c r="R280" s="23" t="str">
        <f>IFERROR(VLOOKUP($I280,'DB2'!$F$2:$I$50,2,0),"옛날 부서명 확인")</f>
        <v>옛날 부서명 확인</v>
      </c>
      <c r="S280" s="23" t="str">
        <f>IFERROR(VLOOKUP($I280,'DB2'!$F$2:$I$50,4,0),"옛날 부서명 확인")</f>
        <v>옛날 부서명 확인</v>
      </c>
    </row>
    <row r="281" spans="1:19" ht="22.5" hidden="1" customHeight="1">
      <c r="A281" s="19" t="s">
        <v>1179</v>
      </c>
      <c r="B281" s="19" t="s">
        <v>1172</v>
      </c>
      <c r="C281" s="24" t="s">
        <v>1180</v>
      </c>
      <c r="D281" s="20" t="s">
        <v>1181</v>
      </c>
      <c r="E281" s="20"/>
      <c r="F281" s="20" t="s">
        <v>1001</v>
      </c>
      <c r="G281" s="19" t="s">
        <v>1002</v>
      </c>
      <c r="H281" s="20" t="s">
        <v>1003</v>
      </c>
      <c r="I281" s="20" t="s">
        <v>69</v>
      </c>
      <c r="J281" s="21">
        <v>46570000</v>
      </c>
      <c r="K281" s="22">
        <v>45658</v>
      </c>
      <c r="L281" s="22">
        <v>46022</v>
      </c>
      <c r="M281" s="20"/>
      <c r="N281" s="23"/>
      <c r="O281" s="23" t="str">
        <f>IFERROR(VLOOKUP($G281,'DB2'!$A:$B,2,0),"공동과책 확인")</f>
        <v>Hong, Je-woo</v>
      </c>
      <c r="P281" s="23"/>
      <c r="Q281" s="23"/>
      <c r="R281" s="23" t="str">
        <f>IFERROR(VLOOKUP($I281,'DB2'!$F$2:$I$50,2,0),"옛날 부서명 확인")</f>
        <v>Performance Management Team</v>
      </c>
      <c r="S281" s="23" t="str">
        <f>IFERROR(VLOOKUP($I281,'DB2'!$F$2:$I$50,4,0),"옛날 부서명 확인")</f>
        <v xml:space="preserve">Department of Planning and Strategy </v>
      </c>
    </row>
    <row r="282" spans="1:19" ht="22.5" hidden="1" customHeight="1">
      <c r="A282" s="19" t="s">
        <v>1185</v>
      </c>
      <c r="B282" s="19" t="s">
        <v>1172</v>
      </c>
      <c r="C282" s="24" t="s">
        <v>1186</v>
      </c>
      <c r="D282" s="20" t="s">
        <v>1187</v>
      </c>
      <c r="E282" s="20"/>
      <c r="F282" s="20" t="s">
        <v>899</v>
      </c>
      <c r="G282" s="19" t="s">
        <v>900</v>
      </c>
      <c r="H282" s="20" t="s">
        <v>901</v>
      </c>
      <c r="I282" s="20" t="s">
        <v>902</v>
      </c>
      <c r="J282" s="21">
        <v>122641000</v>
      </c>
      <c r="K282" s="22">
        <v>45658</v>
      </c>
      <c r="L282" s="22">
        <v>46022</v>
      </c>
      <c r="M282" s="20"/>
      <c r="N282" s="23"/>
      <c r="O282" s="23" t="str">
        <f>IFERROR(VLOOKUP($G282,'DB2'!$A:$B,2,0),"공동과책 확인")</f>
        <v>Park, Jongyoon</v>
      </c>
      <c r="P282" s="23"/>
      <c r="Q282" s="23"/>
      <c r="R282" s="23" t="str">
        <f>IFERROR(VLOOKUP($I282,'DB2'!$F$2:$I$50,2,0),"옛날 부서명 확인")</f>
        <v>옛날 부서명 확인</v>
      </c>
      <c r="S282" s="23" t="str">
        <f>IFERROR(VLOOKUP($I282,'DB2'!$F$2:$I$50,4,0),"옛날 부서명 확인")</f>
        <v>옛날 부서명 확인</v>
      </c>
    </row>
    <row r="283" spans="1:19" ht="22.5" hidden="1" customHeight="1">
      <c r="A283" s="19" t="s">
        <v>1188</v>
      </c>
      <c r="B283" s="19" t="s">
        <v>1172</v>
      </c>
      <c r="C283" s="24" t="s">
        <v>1189</v>
      </c>
      <c r="D283" s="20" t="s">
        <v>1190</v>
      </c>
      <c r="E283" s="20"/>
      <c r="F283" s="20" t="s">
        <v>1191</v>
      </c>
      <c r="G283" s="19" t="s">
        <v>1192</v>
      </c>
      <c r="H283" s="20" t="s">
        <v>1193</v>
      </c>
      <c r="I283" s="20" t="s">
        <v>1194</v>
      </c>
      <c r="J283" s="21">
        <v>96404000</v>
      </c>
      <c r="K283" s="22">
        <v>45658</v>
      </c>
      <c r="L283" s="22">
        <v>46022</v>
      </c>
      <c r="M283" s="20"/>
      <c r="N283" s="23"/>
      <c r="O283" s="23" t="str">
        <f>IFERROR(VLOOKUP($G283,'DB2'!$A:$B,2,0),"공동과책 확인")</f>
        <v>Shin, Kyunghee</v>
      </c>
      <c r="P283" s="23"/>
      <c r="Q283" s="23"/>
      <c r="R283" s="23" t="str">
        <f>IFERROR(VLOOKUP($I283,'DB2'!$F$2:$I$50,2,0),"옛날 부서명 확인")</f>
        <v>옛날 부서명 확인</v>
      </c>
      <c r="S283" s="23" t="str">
        <f>IFERROR(VLOOKUP($I283,'DB2'!$F$2:$I$50,4,0),"옛날 부서명 확인")</f>
        <v>옛날 부서명 확인</v>
      </c>
    </row>
    <row r="284" spans="1:19" ht="22.5" hidden="1" customHeight="1">
      <c r="A284" s="19" t="s">
        <v>1195</v>
      </c>
      <c r="B284" s="19" t="s">
        <v>1172</v>
      </c>
      <c r="C284" s="24" t="s">
        <v>1196</v>
      </c>
      <c r="D284" s="20" t="s">
        <v>1197</v>
      </c>
      <c r="E284" s="20"/>
      <c r="F284" s="20" t="s">
        <v>963</v>
      </c>
      <c r="G284" s="19" t="s">
        <v>964</v>
      </c>
      <c r="H284" s="20" t="s">
        <v>965</v>
      </c>
      <c r="I284" s="20" t="s">
        <v>966</v>
      </c>
      <c r="J284" s="21">
        <v>64725000</v>
      </c>
      <c r="K284" s="22">
        <v>45658</v>
      </c>
      <c r="L284" s="22">
        <v>46022</v>
      </c>
      <c r="M284" s="20"/>
      <c r="N284" s="23"/>
      <c r="O284" s="23" t="str">
        <f>IFERROR(VLOOKUP($G284,'DB2'!$A:$B,2,0),"공동과책 확인")</f>
        <v>Cheon, Jaehong</v>
      </c>
      <c r="P284" s="23"/>
      <c r="Q284" s="23"/>
      <c r="R284" s="23" t="str">
        <f>IFERROR(VLOOKUP($I284,'DB2'!$F$2:$I$50,2,0),"옛날 부서명 확인")</f>
        <v>옛날 부서명 확인</v>
      </c>
      <c r="S284" s="23" t="str">
        <f>IFERROR(VLOOKUP($I284,'DB2'!$F$2:$I$50,4,0),"옛날 부서명 확인")</f>
        <v>옛날 부서명 확인</v>
      </c>
    </row>
    <row r="285" spans="1:19" ht="22.5" hidden="1" customHeight="1">
      <c r="A285" s="19" t="s">
        <v>1198</v>
      </c>
      <c r="B285" s="19" t="s">
        <v>1172</v>
      </c>
      <c r="C285" s="24" t="s">
        <v>1199</v>
      </c>
      <c r="D285" s="20" t="s">
        <v>1200</v>
      </c>
      <c r="E285" s="20"/>
      <c r="F285" s="20" t="s">
        <v>963</v>
      </c>
      <c r="G285" s="19" t="s">
        <v>964</v>
      </c>
      <c r="H285" s="20" t="s">
        <v>965</v>
      </c>
      <c r="I285" s="20" t="s">
        <v>966</v>
      </c>
      <c r="J285" s="21">
        <v>96341000</v>
      </c>
      <c r="K285" s="22">
        <v>45658</v>
      </c>
      <c r="L285" s="22">
        <v>46022</v>
      </c>
      <c r="M285" s="20"/>
      <c r="N285" s="23"/>
      <c r="O285" s="23" t="str">
        <f>IFERROR(VLOOKUP($G285,'DB2'!$A:$B,2,0),"공동과책 확인")</f>
        <v>Cheon, Jaehong</v>
      </c>
      <c r="P285" s="23"/>
      <c r="Q285" s="23"/>
      <c r="R285" s="23" t="str">
        <f>IFERROR(VLOOKUP($I285,'DB2'!$F$2:$I$50,2,0),"옛날 부서명 확인")</f>
        <v>옛날 부서명 확인</v>
      </c>
      <c r="S285" s="23" t="str">
        <f>IFERROR(VLOOKUP($I285,'DB2'!$F$2:$I$50,4,0),"옛날 부서명 확인")</f>
        <v>옛날 부서명 확인</v>
      </c>
    </row>
    <row r="286" spans="1:19" ht="22.5" hidden="1" customHeight="1">
      <c r="A286" s="19" t="s">
        <v>1201</v>
      </c>
      <c r="B286" s="19" t="s">
        <v>1172</v>
      </c>
      <c r="C286" s="24" t="s">
        <v>1202</v>
      </c>
      <c r="D286" s="20" t="s">
        <v>988</v>
      </c>
      <c r="E286" s="20"/>
      <c r="F286" s="20" t="s">
        <v>995</v>
      </c>
      <c r="G286" s="19" t="s">
        <v>996</v>
      </c>
      <c r="H286" s="20" t="s">
        <v>997</v>
      </c>
      <c r="I286" s="20" t="s">
        <v>992</v>
      </c>
      <c r="J286" s="21">
        <v>98850000</v>
      </c>
      <c r="K286" s="22">
        <v>45658</v>
      </c>
      <c r="L286" s="22">
        <v>46022</v>
      </c>
      <c r="M286" s="20"/>
      <c r="N286" s="23"/>
      <c r="O286" s="23" t="str">
        <f>IFERROR(VLOOKUP($G286,'DB2'!$A:$B,2,0),"공동과책 확인")</f>
        <v>Kim, Yonggu</v>
      </c>
      <c r="P286" s="23"/>
      <c r="Q286" s="23"/>
      <c r="R286" s="23" t="str">
        <f>IFERROR(VLOOKUP($I286,'DB2'!$F$2:$I$50,2,0),"옛날 부서명 확인")</f>
        <v>옛날 부서명 확인</v>
      </c>
      <c r="S286" s="23" t="str">
        <f>IFERROR(VLOOKUP($I286,'DB2'!$F$2:$I$50,4,0),"옛날 부서명 확인")</f>
        <v>옛날 부서명 확인</v>
      </c>
    </row>
    <row r="287" spans="1:19" ht="22.5" hidden="1" customHeight="1">
      <c r="A287" s="19" t="s">
        <v>1203</v>
      </c>
      <c r="B287" s="19" t="s">
        <v>1204</v>
      </c>
      <c r="C287" s="24" t="s">
        <v>1205</v>
      </c>
      <c r="D287" s="20" t="s">
        <v>1206</v>
      </c>
      <c r="E287" s="20"/>
      <c r="F287" s="20" t="s">
        <v>714</v>
      </c>
      <c r="G287" s="19" t="s">
        <v>715</v>
      </c>
      <c r="H287" s="20" t="s">
        <v>818</v>
      </c>
      <c r="I287" s="20" t="s">
        <v>819</v>
      </c>
      <c r="J287" s="21">
        <v>15000000</v>
      </c>
      <c r="K287" s="22">
        <v>45597</v>
      </c>
      <c r="L287" s="22">
        <v>45777</v>
      </c>
      <c r="M287" s="20"/>
      <c r="N287" s="23"/>
      <c r="O287" s="23" t="str">
        <f>IFERROR(VLOOKUP($G287,'DB2'!$A:$B,2,0),"공동과책 확인")</f>
        <v xml:space="preserve">Ju, Munsol </v>
      </c>
      <c r="P287" s="23"/>
      <c r="Q287" s="23"/>
      <c r="R287" s="23" t="str">
        <f>IFERROR(VLOOKUP($I287,'DB2'!$F$2:$I$50,2,0),"옛날 부서명 확인")</f>
        <v>옛날 부서명 확인</v>
      </c>
      <c r="S287" s="23" t="str">
        <f>IFERROR(VLOOKUP($I287,'DB2'!$F$2:$I$50,4,0),"옛날 부서명 확인")</f>
        <v>옛날 부서명 확인</v>
      </c>
    </row>
    <row r="288" spans="1:19" ht="22.5" hidden="1" customHeight="1">
      <c r="A288" s="19" t="s">
        <v>1209</v>
      </c>
      <c r="B288" s="19" t="s">
        <v>1204</v>
      </c>
      <c r="C288" s="24" t="s">
        <v>1210</v>
      </c>
      <c r="D288" s="20" t="s">
        <v>1211</v>
      </c>
      <c r="E288" s="20"/>
      <c r="F288" s="20" t="s">
        <v>588</v>
      </c>
      <c r="G288" s="19" t="s">
        <v>589</v>
      </c>
      <c r="H288" s="20" t="s">
        <v>98</v>
      </c>
      <c r="I288" s="20" t="s">
        <v>99</v>
      </c>
      <c r="J288" s="21">
        <v>15000000</v>
      </c>
      <c r="K288" s="22">
        <v>45597</v>
      </c>
      <c r="L288" s="22">
        <v>45777</v>
      </c>
      <c r="M288" s="20"/>
      <c r="N288" s="23"/>
      <c r="O288" s="23" t="str">
        <f>IFERROR(VLOOKUP($G288,'DB2'!$A:$B,2,0),"공동과책 확인")</f>
        <v xml:space="preserve">Oh, Myoungjin </v>
      </c>
      <c r="P288" s="23"/>
      <c r="Q288" s="23"/>
      <c r="R288" s="23" t="str">
        <f>IFERROR(VLOOKUP($I288,'DB2'!$F$2:$I$50,2,0),"옛날 부서명 확인")</f>
        <v>옛날 부서명 확인</v>
      </c>
      <c r="S288" s="23" t="str">
        <f>IFERROR(VLOOKUP($I288,'DB2'!$F$2:$I$50,4,0),"옛날 부서명 확인")</f>
        <v>옛날 부서명 확인</v>
      </c>
    </row>
    <row r="289" spans="1:19" ht="22.5" customHeight="1">
      <c r="A289" s="26" t="s">
        <v>1234</v>
      </c>
      <c r="B289" s="26" t="s">
        <v>1204</v>
      </c>
      <c r="C289" s="31" t="s">
        <v>1235</v>
      </c>
      <c r="D289" s="27" t="s">
        <v>2190</v>
      </c>
      <c r="E289" s="20"/>
      <c r="F289" s="20" t="s">
        <v>1237</v>
      </c>
      <c r="G289" s="26" t="s">
        <v>1238</v>
      </c>
      <c r="H289" s="20" t="s">
        <v>221</v>
      </c>
      <c r="I289" s="27" t="s">
        <v>222</v>
      </c>
      <c r="J289" s="28">
        <v>15000000</v>
      </c>
      <c r="K289" s="29">
        <v>45901</v>
      </c>
      <c r="L289" s="29">
        <v>46081</v>
      </c>
      <c r="M289" s="20"/>
      <c r="N289" s="30" t="s">
        <v>2211</v>
      </c>
      <c r="O289" s="30" t="str">
        <f>IFERROR(VLOOKUP($G289,'DB2'!$A:$B,2,0),"공동과책 확인")</f>
        <v>Lee, Ji-Young</v>
      </c>
      <c r="P289" s="30"/>
      <c r="Q289" s="30"/>
      <c r="R289" s="30" t="str">
        <f>IFERROR(VLOOKUP($I289,'DB2'!$F$2:$I$50,2,0),"옛날 부서명 확인")</f>
        <v>Spatial Planning and Management Division</v>
      </c>
      <c r="S289" s="30" t="str">
        <f>IFERROR(VLOOKUP($I289,'DB2'!$F$2:$I$50,4,0),"옛날 부서명 확인")</f>
        <v xml:space="preserve">Land and Environment Research Group </v>
      </c>
    </row>
    <row r="290" spans="1:19" ht="22.5" customHeight="1">
      <c r="A290" s="26" t="s">
        <v>1239</v>
      </c>
      <c r="B290" s="26" t="s">
        <v>1204</v>
      </c>
      <c r="C290" s="31" t="s">
        <v>1240</v>
      </c>
      <c r="D290" s="27" t="s">
        <v>1236</v>
      </c>
      <c r="E290" s="20"/>
      <c r="F290" s="20" t="s">
        <v>1237</v>
      </c>
      <c r="G290" s="26" t="s">
        <v>1238</v>
      </c>
      <c r="H290" s="20" t="s">
        <v>221</v>
      </c>
      <c r="I290" s="27" t="s">
        <v>222</v>
      </c>
      <c r="J290" s="28">
        <v>10000000</v>
      </c>
      <c r="K290" s="29">
        <v>45901</v>
      </c>
      <c r="L290" s="29">
        <v>46022</v>
      </c>
      <c r="M290" s="20"/>
      <c r="N290" s="30" t="s">
        <v>2191</v>
      </c>
      <c r="O290" s="30" t="str">
        <f>IFERROR(VLOOKUP($G290,'DB2'!$A:$B,2,0),"공동과책 확인")</f>
        <v>Lee, Ji-Young</v>
      </c>
      <c r="P290" s="30" t="s">
        <v>2200</v>
      </c>
      <c r="Q290" s="30"/>
      <c r="R290" s="30" t="str">
        <f>IFERROR(VLOOKUP($I290,'DB2'!$F$2:$I$50,2,0),"옛날 부서명 확인")</f>
        <v>Spatial Planning and Management Division</v>
      </c>
      <c r="S290" s="30" t="str">
        <f>IFERROR(VLOOKUP($I290,'DB2'!$F$2:$I$50,4,0),"옛날 부서명 확인")</f>
        <v xml:space="preserve">Land and Environment Research Group </v>
      </c>
    </row>
    <row r="291" spans="1:19" ht="22.5" customHeight="1">
      <c r="A291" s="26" t="s">
        <v>1241</v>
      </c>
      <c r="B291" s="26" t="s">
        <v>1204</v>
      </c>
      <c r="C291" s="31" t="s">
        <v>1242</v>
      </c>
      <c r="D291" s="27" t="s">
        <v>2192</v>
      </c>
      <c r="E291" s="20"/>
      <c r="F291" s="20" t="s">
        <v>250</v>
      </c>
      <c r="G291" s="26" t="s">
        <v>1244</v>
      </c>
      <c r="H291" s="20" t="s">
        <v>221</v>
      </c>
      <c r="I291" s="27" t="s">
        <v>222</v>
      </c>
      <c r="J291" s="28">
        <v>15000000</v>
      </c>
      <c r="K291" s="29">
        <v>45901</v>
      </c>
      <c r="L291" s="29">
        <v>46081</v>
      </c>
      <c r="M291" s="20"/>
      <c r="N291" s="30" t="s">
        <v>2211</v>
      </c>
      <c r="O291" s="30"/>
      <c r="P291" s="30"/>
      <c r="Q291" s="30"/>
      <c r="R291" s="30" t="str">
        <f>IFERROR(VLOOKUP($I291,'DB2'!$F$2:$I$50,2,0),"옛날 부서명 확인")</f>
        <v>Spatial Planning and Management Division</v>
      </c>
      <c r="S291" s="30" t="str">
        <f>IFERROR(VLOOKUP($I291,'DB2'!$F$2:$I$50,4,0),"옛날 부서명 확인")</f>
        <v xml:space="preserve">Land and Environment Research Group </v>
      </c>
    </row>
    <row r="292" spans="1:19" ht="22.5" customHeight="1">
      <c r="A292" s="26" t="s">
        <v>1245</v>
      </c>
      <c r="B292" s="26" t="s">
        <v>1204</v>
      </c>
      <c r="C292" s="31" t="s">
        <v>1246</v>
      </c>
      <c r="D292" s="27" t="s">
        <v>1243</v>
      </c>
      <c r="E292" s="20"/>
      <c r="F292" s="20" t="s">
        <v>250</v>
      </c>
      <c r="G292" s="26" t="s">
        <v>251</v>
      </c>
      <c r="H292" s="20" t="s">
        <v>221</v>
      </c>
      <c r="I292" s="27" t="s">
        <v>222</v>
      </c>
      <c r="J292" s="28">
        <v>10000000</v>
      </c>
      <c r="K292" s="29">
        <v>45901</v>
      </c>
      <c r="L292" s="29">
        <v>46022</v>
      </c>
      <c r="M292" s="20"/>
      <c r="N292" s="30" t="s">
        <v>2193</v>
      </c>
      <c r="O292" s="30" t="str">
        <f>IFERROR(VLOOKUP($G292,'DB2'!$A:$B,2,0),"공동과책 확인")</f>
        <v>Choi, Hee-Sun</v>
      </c>
      <c r="P292" s="30" t="s">
        <v>2200</v>
      </c>
      <c r="Q292" s="30" t="s">
        <v>2203</v>
      </c>
      <c r="R292" s="30" t="str">
        <f>IFERROR(VLOOKUP($I292,'DB2'!$F$2:$I$50,2,0),"옛날 부서명 확인")</f>
        <v>Spatial Planning and Management Division</v>
      </c>
      <c r="S292" s="30" t="str">
        <f>IFERROR(VLOOKUP($I292,'DB2'!$F$2:$I$50,4,0),"옛날 부서명 확인")</f>
        <v xml:space="preserve">Land and Environment Research Group </v>
      </c>
    </row>
    <row r="293" spans="1:19" ht="22.5" customHeight="1">
      <c r="A293" s="26" t="s">
        <v>1247</v>
      </c>
      <c r="B293" s="26" t="s">
        <v>1204</v>
      </c>
      <c r="C293" s="31" t="s">
        <v>1248</v>
      </c>
      <c r="D293" s="27" t="s">
        <v>2194</v>
      </c>
      <c r="E293" s="20"/>
      <c r="F293" s="20" t="s">
        <v>794</v>
      </c>
      <c r="G293" s="26" t="s">
        <v>795</v>
      </c>
      <c r="H293" s="20" t="s">
        <v>455</v>
      </c>
      <c r="I293" s="27" t="s">
        <v>131</v>
      </c>
      <c r="J293" s="28">
        <v>15000000</v>
      </c>
      <c r="K293" s="29">
        <v>45901</v>
      </c>
      <c r="L293" s="29">
        <v>46081</v>
      </c>
      <c r="M293" s="20"/>
      <c r="N293" s="30" t="s">
        <v>2211</v>
      </c>
      <c r="O293" s="30" t="str">
        <f>IFERROR(VLOOKUP($G293,'DB2'!$A:$B,2,0),"공동과책 확인")</f>
        <v>Shin, Dong Won</v>
      </c>
      <c r="P293" s="30"/>
      <c r="Q293" s="30"/>
      <c r="R293" s="30" t="str">
        <f>IFERROR(VLOOKUP($I293,'DB2'!$F$2:$I$50,2,0),"옛날 부서명 확인")</f>
        <v xml:space="preserve">Carbon Neutrality Division </v>
      </c>
      <c r="S293" s="30" t="str">
        <f>IFERROR(VLOOKUP($I293,'DB2'!$F$2:$I$50,4,0),"옛날 부서명 확인")</f>
        <v xml:space="preserve">Climate and Atmospheric Strategy Research Group  </v>
      </c>
    </row>
    <row r="294" spans="1:19" ht="22.5" customHeight="1">
      <c r="A294" s="26" t="s">
        <v>1249</v>
      </c>
      <c r="B294" s="26" t="s">
        <v>1204</v>
      </c>
      <c r="C294" s="31" t="s">
        <v>1250</v>
      </c>
      <c r="D294" s="27" t="s">
        <v>2194</v>
      </c>
      <c r="E294" s="20"/>
      <c r="F294" s="20" t="s">
        <v>794</v>
      </c>
      <c r="G294" s="26" t="s">
        <v>795</v>
      </c>
      <c r="H294" s="20" t="s">
        <v>455</v>
      </c>
      <c r="I294" s="27" t="s">
        <v>131</v>
      </c>
      <c r="J294" s="28">
        <v>10000000</v>
      </c>
      <c r="K294" s="29">
        <v>45901</v>
      </c>
      <c r="L294" s="29">
        <v>46022</v>
      </c>
      <c r="M294" s="20"/>
      <c r="N294" s="30" t="s">
        <v>2199</v>
      </c>
      <c r="O294" s="30" t="str">
        <f>IFERROR(VLOOKUP($G294,'DB2'!$A:$B,2,0),"공동과책 확인")</f>
        <v>Shin, Dong Won</v>
      </c>
      <c r="P294" s="30" t="s">
        <v>2206</v>
      </c>
      <c r="Q294" s="30" t="s">
        <v>2207</v>
      </c>
      <c r="R294" s="30" t="str">
        <f>IFERROR(VLOOKUP($I294,'DB2'!$F$2:$I$50,2,0),"옛날 부서명 확인")</f>
        <v xml:space="preserve">Carbon Neutrality Division </v>
      </c>
      <c r="S294" s="30" t="str">
        <f>IFERROR(VLOOKUP($I294,'DB2'!$F$2:$I$50,4,0),"옛날 부서명 확인")</f>
        <v xml:space="preserve">Climate and Atmospheric Strategy Research Group  </v>
      </c>
    </row>
    <row r="295" spans="1:19" ht="22.5" customHeight="1">
      <c r="A295" s="26" t="s">
        <v>1251</v>
      </c>
      <c r="B295" s="26" t="s">
        <v>1204</v>
      </c>
      <c r="C295" s="31" t="s">
        <v>1252</v>
      </c>
      <c r="D295" s="27" t="s">
        <v>1253</v>
      </c>
      <c r="E295" s="20"/>
      <c r="F295" s="20" t="s">
        <v>810</v>
      </c>
      <c r="G295" s="26" t="s">
        <v>811</v>
      </c>
      <c r="H295" s="20" t="s">
        <v>364</v>
      </c>
      <c r="I295" s="27" t="s">
        <v>204</v>
      </c>
      <c r="J295" s="28">
        <v>15000000</v>
      </c>
      <c r="K295" s="29">
        <v>45971</v>
      </c>
      <c r="L295" s="29">
        <v>46151</v>
      </c>
      <c r="M295" s="20"/>
      <c r="N295" s="30" t="s">
        <v>2211</v>
      </c>
      <c r="O295" s="30" t="str">
        <f>IFERROR(VLOOKUP($G295,'DB2'!$A:$B,2,0),"공동과책 확인")</f>
        <v>Hahn, Jinseok</v>
      </c>
      <c r="P295" s="30"/>
      <c r="Q295" s="30"/>
      <c r="R295" s="30" t="str">
        <f>IFERROR(VLOOKUP($I295,'DB2'!$F$2:$I$50,2,0),"옛날 부서명 확인")</f>
        <v>Atmospheric Environment Division</v>
      </c>
      <c r="S295" s="30" t="str">
        <f>IFERROR(VLOOKUP($I295,'DB2'!$F$2:$I$50,4,0),"옛날 부서명 확인")</f>
        <v xml:space="preserve">Climate and Atmospheric Strategy Research Group  </v>
      </c>
    </row>
    <row r="296" spans="1:19" ht="22.5" customHeight="1">
      <c r="A296" s="26" t="s">
        <v>1254</v>
      </c>
      <c r="B296" s="26" t="s">
        <v>1204</v>
      </c>
      <c r="C296" s="31" t="s">
        <v>1255</v>
      </c>
      <c r="D296" s="27" t="s">
        <v>2195</v>
      </c>
      <c r="E296" s="20"/>
      <c r="F296" s="20" t="s">
        <v>810</v>
      </c>
      <c r="G296" s="26" t="s">
        <v>811</v>
      </c>
      <c r="H296" s="20" t="s">
        <v>364</v>
      </c>
      <c r="I296" s="27" t="s">
        <v>204</v>
      </c>
      <c r="J296" s="28">
        <v>3948880</v>
      </c>
      <c r="K296" s="29">
        <v>45971</v>
      </c>
      <c r="L296" s="29">
        <v>46022</v>
      </c>
      <c r="M296" s="20"/>
      <c r="N296" s="30" t="s">
        <v>2196</v>
      </c>
      <c r="O296" s="30" t="str">
        <f>IFERROR(VLOOKUP($G296,'DB2'!$A:$B,2,0),"공동과책 확인")</f>
        <v>Hahn, Jinseok</v>
      </c>
      <c r="P296" s="30" t="s">
        <v>2206</v>
      </c>
      <c r="Q296" s="30" t="s">
        <v>2207</v>
      </c>
      <c r="R296" s="30" t="str">
        <f>IFERROR(VLOOKUP($I296,'DB2'!$F$2:$I$50,2,0),"옛날 부서명 확인")</f>
        <v>Atmospheric Environment Division</v>
      </c>
      <c r="S296" s="30" t="str">
        <f>IFERROR(VLOOKUP($I296,'DB2'!$F$2:$I$50,4,0),"옛날 부서명 확인")</f>
        <v xml:space="preserve">Climate and Atmospheric Strategy Research Group  </v>
      </c>
    </row>
    <row r="297" spans="1:19" ht="22.5" customHeight="1">
      <c r="A297" s="26" t="s">
        <v>1256</v>
      </c>
      <c r="B297" s="26" t="s">
        <v>1204</v>
      </c>
      <c r="C297" s="31" t="s">
        <v>1257</v>
      </c>
      <c r="D297" s="27" t="s">
        <v>1258</v>
      </c>
      <c r="E297" s="20"/>
      <c r="F297" s="20" t="s">
        <v>459</v>
      </c>
      <c r="G297" s="26" t="s">
        <v>460</v>
      </c>
      <c r="H297" s="20" t="s">
        <v>211</v>
      </c>
      <c r="I297" s="27" t="s">
        <v>212</v>
      </c>
      <c r="J297" s="28">
        <v>15000000</v>
      </c>
      <c r="K297" s="29">
        <v>45971</v>
      </c>
      <c r="L297" s="29">
        <v>46151</v>
      </c>
      <c r="M297" s="20"/>
      <c r="N297" s="30" t="s">
        <v>2211</v>
      </c>
      <c r="O297" s="30" t="str">
        <f>IFERROR(VLOOKUP($G297,'DB2'!$A:$B,2,0),"공동과책 확인")</f>
        <v>Choi, Mikyoung</v>
      </c>
      <c r="P297" s="30"/>
      <c r="Q297" s="30"/>
      <c r="R297" s="30" t="str">
        <f>IFERROR(VLOOKUP($I297,'DB2'!$F$2:$I$50,2,0),"옛날 부서명 확인")</f>
        <v xml:space="preserve">Water Management Division </v>
      </c>
      <c r="S297" s="30" t="str">
        <f>IFERROR(VLOOKUP($I297,'DB2'!$F$2:$I$50,4,0),"옛날 부서명 확인")</f>
        <v xml:space="preserve">Land and Environment Research Group </v>
      </c>
    </row>
    <row r="298" spans="1:19" ht="22.5" customHeight="1">
      <c r="A298" s="26" t="s">
        <v>1259</v>
      </c>
      <c r="B298" s="26" t="s">
        <v>1204</v>
      </c>
      <c r="C298" s="31" t="s">
        <v>1260</v>
      </c>
      <c r="D298" s="27" t="s">
        <v>2197</v>
      </c>
      <c r="E298" s="20"/>
      <c r="F298" s="20" t="s">
        <v>459</v>
      </c>
      <c r="G298" s="26" t="s">
        <v>460</v>
      </c>
      <c r="H298" s="20" t="s">
        <v>211</v>
      </c>
      <c r="I298" s="27" t="s">
        <v>212</v>
      </c>
      <c r="J298" s="28">
        <v>3948880</v>
      </c>
      <c r="K298" s="29">
        <v>45971</v>
      </c>
      <c r="L298" s="29">
        <v>46022</v>
      </c>
      <c r="M298" s="20"/>
      <c r="N298" s="30" t="s">
        <v>2198</v>
      </c>
      <c r="O298" s="30" t="str">
        <f>IFERROR(VLOOKUP($G298,'DB2'!$A:$B,2,0),"공동과책 확인")</f>
        <v>Choi, Mikyoung</v>
      </c>
      <c r="P298" s="30" t="s">
        <v>2209</v>
      </c>
      <c r="Q298" s="30" t="s">
        <v>2200</v>
      </c>
      <c r="R298" s="30" t="str">
        <f>IFERROR(VLOOKUP($I298,'DB2'!$F$2:$I$50,2,0),"옛날 부서명 확인")</f>
        <v xml:space="preserve">Water Management Division </v>
      </c>
      <c r="S298" s="30" t="str">
        <f>IFERROR(VLOOKUP($I298,'DB2'!$F$2:$I$50,4,0),"옛날 부서명 확인")</f>
        <v xml:space="preserve">Land and Environment Research Group </v>
      </c>
    </row>
  </sheetData>
  <autoFilter ref="A1:S298" xr:uid="{A85AB8B3-82E8-4A8F-BB81-9DD8244CC4E6}">
    <filterColumn colId="10">
      <filters>
        <dateGroupItem year="2025" month="8" dateTimeGrouping="month"/>
        <dateGroupItem year="2025" month="9" dateTimeGrouping="month"/>
        <dateGroupItem year="2025" month="10" dateTimeGrouping="month"/>
        <dateGroupItem year="2025" month="11" dateTimeGrouping="month"/>
      </filters>
    </filterColumn>
  </autoFilter>
  <phoneticPr fontId="2" type="noConversion"/>
  <conditionalFormatting sqref="O1:O1048576">
    <cfRule type="containsText" dxfId="9" priority="2" operator="containsText" text="공동">
      <formula>NOT(ISERROR(SEARCH("공동",O1)))</formula>
    </cfRule>
  </conditionalFormatting>
  <conditionalFormatting sqref="R1:S1048576">
    <cfRule type="containsText" dxfId="8" priority="1" operator="containsText" text="옛날">
      <formula>NOT(ISERROR(SEARCH("옛날",R1)))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99F3-7C47-4502-BCBD-B8A3C96F3BDF}">
  <dimension ref="A1:J323"/>
  <sheetViews>
    <sheetView topLeftCell="A31" workbookViewId="0">
      <selection activeCell="I35" sqref="I35"/>
    </sheetView>
  </sheetViews>
  <sheetFormatPr defaultRowHeight="16.5"/>
  <cols>
    <col min="1" max="1" width="8.25" bestFit="1" customWidth="1"/>
    <col min="2" max="2" width="18.75" bestFit="1" customWidth="1"/>
    <col min="6" max="6" width="24.125" bestFit="1" customWidth="1"/>
    <col min="7" max="7" width="49.875" bestFit="1" customWidth="1"/>
    <col min="8" max="8" width="21.375" bestFit="1" customWidth="1"/>
    <col min="9" max="9" width="49.875" bestFit="1" customWidth="1"/>
    <col min="10" max="10" width="3.625" bestFit="1" customWidth="1"/>
  </cols>
  <sheetData>
    <row r="1" spans="1:9">
      <c r="A1" s="6" t="s">
        <v>1302</v>
      </c>
      <c r="B1" s="7" t="s">
        <v>1303</v>
      </c>
      <c r="F1" s="12" t="s">
        <v>1261</v>
      </c>
      <c r="G1" s="12"/>
      <c r="H1" s="12" t="s">
        <v>1262</v>
      </c>
      <c r="I1" s="12"/>
    </row>
    <row r="2" spans="1:9">
      <c r="A2" s="6" t="s">
        <v>1304</v>
      </c>
      <c r="B2" s="7" t="s">
        <v>1305</v>
      </c>
      <c r="F2" s="12" t="s">
        <v>317</v>
      </c>
      <c r="G2" s="12" t="s">
        <v>1276</v>
      </c>
      <c r="H2" s="12" t="s">
        <v>309</v>
      </c>
      <c r="I2" s="12" t="s">
        <v>1277</v>
      </c>
    </row>
    <row r="3" spans="1:9">
      <c r="A3" s="7" t="s">
        <v>1306</v>
      </c>
      <c r="B3" s="7" t="s">
        <v>1307</v>
      </c>
      <c r="F3" s="12" t="s">
        <v>309</v>
      </c>
      <c r="G3" s="12" t="s">
        <v>1277</v>
      </c>
      <c r="H3" s="12" t="s">
        <v>309</v>
      </c>
      <c r="I3" s="12" t="s">
        <v>1277</v>
      </c>
    </row>
    <row r="4" spans="1:9">
      <c r="A4" s="7" t="s">
        <v>245</v>
      </c>
      <c r="B4" s="7" t="s">
        <v>1308</v>
      </c>
      <c r="F4" s="12" t="s">
        <v>76</v>
      </c>
      <c r="G4" s="12" t="s">
        <v>1278</v>
      </c>
      <c r="H4" s="12" t="s">
        <v>309</v>
      </c>
      <c r="I4" s="12" t="s">
        <v>1277</v>
      </c>
    </row>
    <row r="5" spans="1:9">
      <c r="A5" s="6" t="s">
        <v>1309</v>
      </c>
      <c r="B5" s="7" t="s">
        <v>1310</v>
      </c>
      <c r="F5" s="12" t="s">
        <v>465</v>
      </c>
      <c r="G5" s="12" t="s">
        <v>1279</v>
      </c>
      <c r="H5" s="12" t="s">
        <v>465</v>
      </c>
      <c r="I5" s="12" t="s">
        <v>1279</v>
      </c>
    </row>
    <row r="6" spans="1:9">
      <c r="A6" s="6" t="s">
        <v>1311</v>
      </c>
      <c r="B6" s="7" t="s">
        <v>1312</v>
      </c>
      <c r="F6" s="12" t="s">
        <v>28</v>
      </c>
      <c r="G6" s="12" t="s">
        <v>1280</v>
      </c>
      <c r="H6" s="12" t="s">
        <v>465</v>
      </c>
      <c r="I6" s="12" t="s">
        <v>1279</v>
      </c>
    </row>
    <row r="7" spans="1:9">
      <c r="A7" s="6" t="s">
        <v>1313</v>
      </c>
      <c r="B7" s="7" t="s">
        <v>1314</v>
      </c>
      <c r="F7" s="12" t="s">
        <v>222</v>
      </c>
      <c r="G7" s="12" t="s">
        <v>1281</v>
      </c>
      <c r="H7" s="12" t="s">
        <v>465</v>
      </c>
      <c r="I7" s="12" t="s">
        <v>1279</v>
      </c>
    </row>
    <row r="8" spans="1:9">
      <c r="A8" s="6" t="s">
        <v>1315</v>
      </c>
      <c r="B8" s="7" t="s">
        <v>1316</v>
      </c>
      <c r="F8" s="12" t="s">
        <v>212</v>
      </c>
      <c r="G8" s="12" t="s">
        <v>1282</v>
      </c>
      <c r="H8" s="12" t="s">
        <v>465</v>
      </c>
      <c r="I8" s="12" t="s">
        <v>1279</v>
      </c>
    </row>
    <row r="9" spans="1:9">
      <c r="A9" s="6" t="s">
        <v>1317</v>
      </c>
      <c r="B9" s="7" t="s">
        <v>1318</v>
      </c>
      <c r="F9" s="12" t="s">
        <v>1071</v>
      </c>
      <c r="G9" s="12" t="s">
        <v>1283</v>
      </c>
      <c r="H9" s="12" t="s">
        <v>1194</v>
      </c>
      <c r="I9" s="12" t="s">
        <v>1284</v>
      </c>
    </row>
    <row r="10" spans="1:9">
      <c r="A10" s="6" t="s">
        <v>1319</v>
      </c>
      <c r="B10" s="7" t="s">
        <v>1320</v>
      </c>
      <c r="F10" s="12" t="s">
        <v>908</v>
      </c>
      <c r="G10" s="12" t="s">
        <v>1285</v>
      </c>
      <c r="H10" s="12" t="s">
        <v>1194</v>
      </c>
      <c r="I10" s="12" t="s">
        <v>1284</v>
      </c>
    </row>
    <row r="11" spans="1:9">
      <c r="A11" s="6" t="s">
        <v>1321</v>
      </c>
      <c r="B11" s="7" t="s">
        <v>1322</v>
      </c>
      <c r="F11" s="12" t="s">
        <v>69</v>
      </c>
      <c r="G11" s="12" t="s">
        <v>1286</v>
      </c>
      <c r="H11" s="12" t="s">
        <v>1194</v>
      </c>
      <c r="I11" s="12" t="s">
        <v>1284</v>
      </c>
    </row>
    <row r="12" spans="1:9">
      <c r="A12" s="7" t="s">
        <v>1323</v>
      </c>
      <c r="B12" s="7" t="s">
        <v>1324</v>
      </c>
      <c r="F12" s="12" t="s">
        <v>353</v>
      </c>
      <c r="G12" s="12" t="s">
        <v>1287</v>
      </c>
      <c r="H12" s="12" t="s">
        <v>348</v>
      </c>
      <c r="I12" s="12" t="s">
        <v>1288</v>
      </c>
    </row>
    <row r="13" spans="1:9">
      <c r="A13" s="6" t="s">
        <v>1325</v>
      </c>
      <c r="B13" s="7" t="s">
        <v>1326</v>
      </c>
      <c r="F13" s="12" t="s">
        <v>204</v>
      </c>
      <c r="G13" s="12" t="s">
        <v>1289</v>
      </c>
      <c r="H13" s="12" t="s">
        <v>348</v>
      </c>
      <c r="I13" s="12" t="s">
        <v>1288</v>
      </c>
    </row>
    <row r="14" spans="1:9">
      <c r="A14" s="6" t="s">
        <v>1327</v>
      </c>
      <c r="B14" s="7" t="s">
        <v>1328</v>
      </c>
      <c r="F14" s="12" t="s">
        <v>131</v>
      </c>
      <c r="G14" s="12" t="s">
        <v>1290</v>
      </c>
      <c r="H14" s="12" t="s">
        <v>348</v>
      </c>
      <c r="I14" s="12" t="s">
        <v>1288</v>
      </c>
    </row>
    <row r="15" spans="1:9">
      <c r="A15" s="7" t="s">
        <v>1329</v>
      </c>
      <c r="B15" s="7" t="s">
        <v>1330</v>
      </c>
      <c r="F15" s="12" t="s">
        <v>348</v>
      </c>
      <c r="G15" s="12" t="s">
        <v>1288</v>
      </c>
      <c r="H15" s="12" t="s">
        <v>348</v>
      </c>
      <c r="I15" s="12" t="s">
        <v>1288</v>
      </c>
    </row>
    <row r="16" spans="1:9">
      <c r="A16" s="6" t="s">
        <v>655</v>
      </c>
      <c r="B16" s="7" t="s">
        <v>1331</v>
      </c>
      <c r="F16" s="12" t="s">
        <v>642</v>
      </c>
      <c r="G16" s="12" t="s">
        <v>1291</v>
      </c>
      <c r="H16" s="12" t="s">
        <v>642</v>
      </c>
      <c r="I16" s="12" t="s">
        <v>1291</v>
      </c>
    </row>
    <row r="17" spans="1:9">
      <c r="A17" s="6" t="s">
        <v>1332</v>
      </c>
      <c r="B17" s="7" t="s">
        <v>1333</v>
      </c>
      <c r="F17" s="12" t="s">
        <v>41</v>
      </c>
      <c r="G17" s="12" t="s">
        <v>1292</v>
      </c>
      <c r="H17" s="12" t="s">
        <v>560</v>
      </c>
      <c r="I17" s="12" t="s">
        <v>1293</v>
      </c>
    </row>
    <row r="18" spans="1:9">
      <c r="A18" s="7" t="s">
        <v>1334</v>
      </c>
      <c r="B18" s="7" t="s">
        <v>1335</v>
      </c>
      <c r="F18" s="12" t="s">
        <v>269</v>
      </c>
      <c r="G18" s="12" t="s">
        <v>1294</v>
      </c>
      <c r="H18" s="12" t="s">
        <v>560</v>
      </c>
      <c r="I18" s="12" t="s">
        <v>1293</v>
      </c>
    </row>
    <row r="19" spans="1:9">
      <c r="A19" s="7" t="s">
        <v>1336</v>
      </c>
      <c r="B19" s="7" t="s">
        <v>1337</v>
      </c>
      <c r="F19" s="12" t="s">
        <v>156</v>
      </c>
      <c r="G19" s="12" t="s">
        <v>1295</v>
      </c>
      <c r="H19" s="12" t="s">
        <v>560</v>
      </c>
      <c r="I19" s="12" t="s">
        <v>1293</v>
      </c>
    </row>
    <row r="20" spans="1:9">
      <c r="A20" s="7" t="s">
        <v>1338</v>
      </c>
      <c r="B20" s="7" t="s">
        <v>1339</v>
      </c>
      <c r="F20" s="12" t="s">
        <v>560</v>
      </c>
      <c r="G20" s="12" t="s">
        <v>1293</v>
      </c>
      <c r="H20" s="12" t="s">
        <v>560</v>
      </c>
      <c r="I20" s="12" t="s">
        <v>1293</v>
      </c>
    </row>
    <row r="21" spans="1:9">
      <c r="A21" s="6" t="s">
        <v>1340</v>
      </c>
      <c r="B21" s="7" t="s">
        <v>1341</v>
      </c>
      <c r="F21" s="12" t="s">
        <v>519</v>
      </c>
      <c r="G21" s="12" t="s">
        <v>1296</v>
      </c>
      <c r="H21" s="12" t="s">
        <v>519</v>
      </c>
      <c r="I21" s="12" t="s">
        <v>1296</v>
      </c>
    </row>
    <row r="22" spans="1:9">
      <c r="A22" s="7" t="s">
        <v>1342</v>
      </c>
      <c r="B22" s="7" t="s">
        <v>1343</v>
      </c>
      <c r="F22" s="12" t="s">
        <v>412</v>
      </c>
      <c r="G22" s="12" t="s">
        <v>1297</v>
      </c>
      <c r="H22" s="12" t="s">
        <v>519</v>
      </c>
      <c r="I22" s="12" t="s">
        <v>1296</v>
      </c>
    </row>
    <row r="23" spans="1:9">
      <c r="A23" s="6" t="s">
        <v>1344</v>
      </c>
      <c r="B23" s="7" t="s">
        <v>1345</v>
      </c>
      <c r="F23" s="12" t="s">
        <v>424</v>
      </c>
      <c r="G23" s="12" t="s">
        <v>1298</v>
      </c>
      <c r="H23" s="12" t="s">
        <v>519</v>
      </c>
      <c r="I23" s="12" t="s">
        <v>1296</v>
      </c>
    </row>
    <row r="24" spans="1:9">
      <c r="A24" s="6" t="s">
        <v>647</v>
      </c>
      <c r="B24" s="7" t="s">
        <v>1346</v>
      </c>
      <c r="F24" s="12" t="s">
        <v>509</v>
      </c>
      <c r="G24" s="12" t="s">
        <v>1299</v>
      </c>
      <c r="H24" s="12" t="s">
        <v>519</v>
      </c>
      <c r="I24" s="12" t="s">
        <v>1296</v>
      </c>
    </row>
    <row r="25" spans="1:9">
      <c r="A25" s="7" t="s">
        <v>1347</v>
      </c>
      <c r="B25" s="7" t="s">
        <v>1348</v>
      </c>
      <c r="F25" s="12" t="s">
        <v>439</v>
      </c>
      <c r="G25" s="12" t="s">
        <v>1300</v>
      </c>
      <c r="H25" s="12" t="s">
        <v>519</v>
      </c>
      <c r="I25" s="12" t="s">
        <v>1296</v>
      </c>
    </row>
    <row r="26" spans="1:9">
      <c r="A26" s="6" t="s">
        <v>1349</v>
      </c>
      <c r="B26" s="7" t="s">
        <v>1350</v>
      </c>
    </row>
    <row r="27" spans="1:9">
      <c r="A27" s="6" t="s">
        <v>1351</v>
      </c>
      <c r="B27" s="7" t="s">
        <v>1352</v>
      </c>
    </row>
    <row r="28" spans="1:9">
      <c r="A28" s="6" t="s">
        <v>315</v>
      </c>
      <c r="B28" s="7" t="s">
        <v>1353</v>
      </c>
      <c r="F28" t="s">
        <v>2150</v>
      </c>
    </row>
    <row r="29" spans="1:9">
      <c r="A29" s="6" t="s">
        <v>817</v>
      </c>
      <c r="B29" s="7" t="s">
        <v>1354</v>
      </c>
      <c r="F29" t="s">
        <v>2151</v>
      </c>
    </row>
    <row r="30" spans="1:9">
      <c r="A30" s="6" t="s">
        <v>1355</v>
      </c>
      <c r="B30" s="7" t="s">
        <v>1356</v>
      </c>
      <c r="F30" t="s">
        <v>2152</v>
      </c>
    </row>
    <row r="31" spans="1:9">
      <c r="A31" s="6" t="s">
        <v>627</v>
      </c>
      <c r="B31" s="7" t="s">
        <v>1357</v>
      </c>
      <c r="F31" t="s">
        <v>2153</v>
      </c>
    </row>
    <row r="32" spans="1:9">
      <c r="A32" s="7" t="s">
        <v>1358</v>
      </c>
      <c r="B32" s="7" t="s">
        <v>1359</v>
      </c>
      <c r="F32" t="s">
        <v>2154</v>
      </c>
    </row>
    <row r="33" spans="1:10">
      <c r="A33" s="6" t="s">
        <v>1360</v>
      </c>
      <c r="B33" s="6" t="s">
        <v>1361</v>
      </c>
      <c r="F33" t="s">
        <v>2155</v>
      </c>
    </row>
    <row r="34" spans="1:10">
      <c r="A34" s="6" t="s">
        <v>74</v>
      </c>
      <c r="B34" s="7" t="s">
        <v>1362</v>
      </c>
    </row>
    <row r="35" spans="1:10">
      <c r="A35" s="6" t="s">
        <v>1363</v>
      </c>
      <c r="B35" s="7" t="s">
        <v>1364</v>
      </c>
    </row>
    <row r="36" spans="1:10">
      <c r="A36" s="6" t="s">
        <v>1365</v>
      </c>
      <c r="B36" s="7" t="s">
        <v>1366</v>
      </c>
    </row>
    <row r="37" spans="1:10">
      <c r="A37" s="7" t="s">
        <v>1367</v>
      </c>
      <c r="B37" s="7" t="s">
        <v>1368</v>
      </c>
    </row>
    <row r="38" spans="1:10">
      <c r="A38" s="6" t="s">
        <v>1369</v>
      </c>
      <c r="B38" s="7" t="s">
        <v>1370</v>
      </c>
    </row>
    <row r="39" spans="1:10">
      <c r="A39" s="7" t="s">
        <v>944</v>
      </c>
      <c r="B39" s="7" t="s">
        <v>1371</v>
      </c>
    </row>
    <row r="40" spans="1:10">
      <c r="A40" s="7" t="s">
        <v>1372</v>
      </c>
      <c r="B40" s="7" t="s">
        <v>1373</v>
      </c>
    </row>
    <row r="41" spans="1:10">
      <c r="A41" s="6" t="s">
        <v>1374</v>
      </c>
      <c r="B41" s="7" t="s">
        <v>1375</v>
      </c>
    </row>
    <row r="42" spans="1:10">
      <c r="A42" s="6" t="s">
        <v>1376</v>
      </c>
      <c r="B42" s="7" t="s">
        <v>1377</v>
      </c>
    </row>
    <row r="43" spans="1:10">
      <c r="A43" s="7" t="s">
        <v>1378</v>
      </c>
      <c r="B43" s="7" t="s">
        <v>1379</v>
      </c>
      <c r="F43" s="12" t="s">
        <v>1263</v>
      </c>
      <c r="G43" s="12" t="s">
        <v>1268</v>
      </c>
      <c r="H43" s="12"/>
      <c r="I43" s="12"/>
      <c r="J43" s="12"/>
    </row>
    <row r="44" spans="1:10">
      <c r="A44" s="6" t="s">
        <v>97</v>
      </c>
      <c r="B44" s="7" t="s">
        <v>1380</v>
      </c>
      <c r="F44" s="12" t="s">
        <v>1264</v>
      </c>
      <c r="G44" s="12" t="s">
        <v>1269</v>
      </c>
      <c r="H44" s="12" t="s">
        <v>1272</v>
      </c>
      <c r="I44" s="12" t="s">
        <v>1273</v>
      </c>
      <c r="J44" s="12" t="s">
        <v>1274</v>
      </c>
    </row>
    <row r="45" spans="1:10">
      <c r="A45" s="6" t="s">
        <v>118</v>
      </c>
      <c r="B45" s="7" t="s">
        <v>1381</v>
      </c>
      <c r="F45" s="12" t="s">
        <v>1265</v>
      </c>
      <c r="G45" s="12" t="s">
        <v>1270</v>
      </c>
      <c r="H45" s="12"/>
      <c r="I45" s="12"/>
      <c r="J45" s="12"/>
    </row>
    <row r="46" spans="1:10">
      <c r="A46" s="6" t="s">
        <v>1382</v>
      </c>
      <c r="B46" s="7" t="s">
        <v>1383</v>
      </c>
      <c r="F46" s="12" t="s">
        <v>1266</v>
      </c>
      <c r="G46" s="12" t="s">
        <v>1271</v>
      </c>
      <c r="H46" s="12"/>
      <c r="I46" s="12"/>
      <c r="J46" s="12"/>
    </row>
    <row r="47" spans="1:10">
      <c r="A47" s="6" t="s">
        <v>137</v>
      </c>
      <c r="B47" s="7" t="s">
        <v>1384</v>
      </c>
      <c r="F47" s="12" t="s">
        <v>1267</v>
      </c>
      <c r="G47" s="12">
        <v>20</v>
      </c>
      <c r="H47" s="12"/>
      <c r="I47" s="12"/>
      <c r="J47" s="12"/>
    </row>
    <row r="48" spans="1:10">
      <c r="A48" s="6" t="s">
        <v>1385</v>
      </c>
      <c r="B48" s="7" t="s">
        <v>1386</v>
      </c>
    </row>
    <row r="49" spans="1:2">
      <c r="A49" s="6" t="s">
        <v>267</v>
      </c>
      <c r="B49" s="7" t="s">
        <v>1387</v>
      </c>
    </row>
    <row r="50" spans="1:2">
      <c r="A50" s="6" t="s">
        <v>1388</v>
      </c>
      <c r="B50" s="7" t="s">
        <v>1389</v>
      </c>
    </row>
    <row r="51" spans="1:2">
      <c r="A51" s="6" t="s">
        <v>1390</v>
      </c>
      <c r="B51" s="7" t="s">
        <v>1391</v>
      </c>
    </row>
    <row r="52" spans="1:2">
      <c r="A52" s="7" t="s">
        <v>1392</v>
      </c>
      <c r="B52" s="7" t="s">
        <v>1393</v>
      </c>
    </row>
    <row r="53" spans="1:2">
      <c r="A53" s="6" t="s">
        <v>1394</v>
      </c>
      <c r="B53" s="7" t="s">
        <v>1395</v>
      </c>
    </row>
    <row r="54" spans="1:2">
      <c r="A54" s="6" t="s">
        <v>1396</v>
      </c>
      <c r="B54" s="7" t="s">
        <v>1397</v>
      </c>
    </row>
    <row r="55" spans="1:2">
      <c r="A55" s="6" t="s">
        <v>1398</v>
      </c>
      <c r="B55" s="7" t="s">
        <v>1399</v>
      </c>
    </row>
    <row r="56" spans="1:2">
      <c r="A56" s="6" t="s">
        <v>1400</v>
      </c>
      <c r="B56" s="7" t="s">
        <v>1401</v>
      </c>
    </row>
    <row r="57" spans="1:2">
      <c r="A57" s="6" t="s">
        <v>188</v>
      </c>
      <c r="B57" s="7" t="s">
        <v>1402</v>
      </c>
    </row>
    <row r="58" spans="1:2">
      <c r="A58" s="6" t="s">
        <v>1403</v>
      </c>
      <c r="B58" s="7" t="s">
        <v>1404</v>
      </c>
    </row>
    <row r="59" spans="1:2">
      <c r="A59" s="6" t="s">
        <v>256</v>
      </c>
      <c r="B59" s="7" t="s">
        <v>1405</v>
      </c>
    </row>
    <row r="60" spans="1:2">
      <c r="A60" s="6" t="s">
        <v>1406</v>
      </c>
      <c r="B60" s="7" t="s">
        <v>1407</v>
      </c>
    </row>
    <row r="61" spans="1:2">
      <c r="A61" s="7" t="s">
        <v>1408</v>
      </c>
      <c r="B61" s="7" t="s">
        <v>1409</v>
      </c>
    </row>
    <row r="62" spans="1:2">
      <c r="A62" s="6" t="s">
        <v>1410</v>
      </c>
      <c r="B62" s="7" t="s">
        <v>1411</v>
      </c>
    </row>
    <row r="63" spans="1:2">
      <c r="A63" s="7" t="s">
        <v>1412</v>
      </c>
      <c r="B63" s="7" t="s">
        <v>1413</v>
      </c>
    </row>
    <row r="64" spans="1:2">
      <c r="A64" s="6" t="s">
        <v>699</v>
      </c>
      <c r="B64" s="7" t="s">
        <v>1414</v>
      </c>
    </row>
    <row r="65" spans="1:2">
      <c r="A65" s="6" t="s">
        <v>90</v>
      </c>
      <c r="B65" s="7" t="s">
        <v>1415</v>
      </c>
    </row>
    <row r="66" spans="1:2">
      <c r="A66" s="6" t="s">
        <v>1416</v>
      </c>
      <c r="B66" s="7" t="s">
        <v>1417</v>
      </c>
    </row>
    <row r="67" spans="1:2">
      <c r="A67" s="6" t="s">
        <v>1418</v>
      </c>
      <c r="B67" s="6" t="s">
        <v>1419</v>
      </c>
    </row>
    <row r="68" spans="1:2">
      <c r="A68" s="6" t="s">
        <v>728</v>
      </c>
      <c r="B68" s="7" t="s">
        <v>1420</v>
      </c>
    </row>
    <row r="69" spans="1:2">
      <c r="A69" s="7" t="s">
        <v>1421</v>
      </c>
      <c r="B69" s="7" t="s">
        <v>1422</v>
      </c>
    </row>
    <row r="70" spans="1:2">
      <c r="A70" s="6" t="s">
        <v>1423</v>
      </c>
      <c r="B70" s="7" t="s">
        <v>1424</v>
      </c>
    </row>
    <row r="71" spans="1:2">
      <c r="A71" s="7" t="s">
        <v>1425</v>
      </c>
      <c r="B71" s="7" t="s">
        <v>1426</v>
      </c>
    </row>
    <row r="72" spans="1:2">
      <c r="A72" s="6" t="s">
        <v>1427</v>
      </c>
      <c r="B72" s="7" t="s">
        <v>1428</v>
      </c>
    </row>
    <row r="73" spans="1:2">
      <c r="A73" s="6" t="s">
        <v>1429</v>
      </c>
      <c r="B73" s="7" t="s">
        <v>1430</v>
      </c>
    </row>
    <row r="74" spans="1:2">
      <c r="A74" s="6" t="s">
        <v>1431</v>
      </c>
      <c r="B74" s="7" t="s">
        <v>1432</v>
      </c>
    </row>
    <row r="75" spans="1:2">
      <c r="A75" s="6" t="s">
        <v>143</v>
      </c>
      <c r="B75" s="7" t="s">
        <v>1433</v>
      </c>
    </row>
    <row r="76" spans="1:2">
      <c r="A76" s="6" t="s">
        <v>1434</v>
      </c>
      <c r="B76" s="7" t="s">
        <v>1435</v>
      </c>
    </row>
    <row r="77" spans="1:2">
      <c r="A77" s="6" t="s">
        <v>1436</v>
      </c>
      <c r="B77" s="7" t="s">
        <v>1437</v>
      </c>
    </row>
    <row r="78" spans="1:2">
      <c r="A78" s="6" t="s">
        <v>1438</v>
      </c>
      <c r="B78" s="7" t="s">
        <v>1439</v>
      </c>
    </row>
    <row r="79" spans="1:2">
      <c r="A79" s="7" t="s">
        <v>1020</v>
      </c>
      <c r="B79" s="7" t="s">
        <v>1440</v>
      </c>
    </row>
    <row r="80" spans="1:2">
      <c r="A80" s="7" t="s">
        <v>293</v>
      </c>
      <c r="B80" s="7" t="s">
        <v>1441</v>
      </c>
    </row>
    <row r="81" spans="1:2">
      <c r="A81" s="6" t="s">
        <v>1442</v>
      </c>
      <c r="B81" s="7" t="s">
        <v>1443</v>
      </c>
    </row>
    <row r="82" spans="1:2">
      <c r="A82" s="7" t="s">
        <v>1444</v>
      </c>
      <c r="B82" s="7" t="s">
        <v>1445</v>
      </c>
    </row>
    <row r="83" spans="1:2">
      <c r="A83" s="7" t="s">
        <v>1446</v>
      </c>
      <c r="B83" s="7" t="s">
        <v>1447</v>
      </c>
    </row>
    <row r="84" spans="1:2">
      <c r="A84" s="6" t="s">
        <v>429</v>
      </c>
      <c r="B84" s="8" t="s">
        <v>1448</v>
      </c>
    </row>
    <row r="85" spans="1:2">
      <c r="A85" s="6" t="s">
        <v>1449</v>
      </c>
      <c r="B85" s="7" t="s">
        <v>1450</v>
      </c>
    </row>
    <row r="86" spans="1:2">
      <c r="A86" s="6" t="s">
        <v>1451</v>
      </c>
      <c r="B86" s="7" t="s">
        <v>1452</v>
      </c>
    </row>
    <row r="87" spans="1:2">
      <c r="A87" s="6" t="s">
        <v>1453</v>
      </c>
      <c r="B87" s="7" t="s">
        <v>1454</v>
      </c>
    </row>
    <row r="88" spans="1:2">
      <c r="A88" s="6" t="s">
        <v>1455</v>
      </c>
      <c r="B88" s="7" t="s">
        <v>1456</v>
      </c>
    </row>
    <row r="89" spans="1:2">
      <c r="A89" s="6" t="s">
        <v>1457</v>
      </c>
      <c r="B89" s="7" t="s">
        <v>1458</v>
      </c>
    </row>
    <row r="90" spans="1:2">
      <c r="A90" s="6" t="s">
        <v>776</v>
      </c>
      <c r="B90" s="7" t="s">
        <v>1459</v>
      </c>
    </row>
    <row r="91" spans="1:2">
      <c r="A91" s="6" t="s">
        <v>1460</v>
      </c>
      <c r="B91" s="7" t="s">
        <v>1461</v>
      </c>
    </row>
    <row r="92" spans="1:2">
      <c r="A92" s="7" t="s">
        <v>1462</v>
      </c>
      <c r="B92" s="7" t="s">
        <v>1463</v>
      </c>
    </row>
    <row r="93" spans="1:2">
      <c r="A93" s="6" t="s">
        <v>760</v>
      </c>
      <c r="B93" s="7" t="s">
        <v>1464</v>
      </c>
    </row>
    <row r="94" spans="1:2">
      <c r="A94" s="6" t="s">
        <v>401</v>
      </c>
      <c r="B94" s="7" t="s">
        <v>1465</v>
      </c>
    </row>
    <row r="95" spans="1:2">
      <c r="A95" s="6" t="s">
        <v>47</v>
      </c>
      <c r="B95" s="7" t="s">
        <v>1466</v>
      </c>
    </row>
    <row r="96" spans="1:2">
      <c r="A96" s="7" t="s">
        <v>502</v>
      </c>
      <c r="B96" s="7" t="s">
        <v>1467</v>
      </c>
    </row>
    <row r="97" spans="1:2">
      <c r="A97" s="6" t="s">
        <v>1468</v>
      </c>
      <c r="B97" s="7" t="s">
        <v>1469</v>
      </c>
    </row>
    <row r="98" spans="1:2">
      <c r="A98" s="9" t="s">
        <v>1470</v>
      </c>
      <c r="B98" s="7" t="s">
        <v>1471</v>
      </c>
    </row>
    <row r="99" spans="1:2">
      <c r="A99" s="6" t="s">
        <v>451</v>
      </c>
      <c r="B99" s="7" t="s">
        <v>1472</v>
      </c>
    </row>
    <row r="100" spans="1:2">
      <c r="A100" s="6" t="s">
        <v>1473</v>
      </c>
      <c r="B100" s="7" t="s">
        <v>1474</v>
      </c>
    </row>
    <row r="101" spans="1:2">
      <c r="A101" s="6" t="s">
        <v>547</v>
      </c>
      <c r="B101" s="7" t="s">
        <v>1475</v>
      </c>
    </row>
    <row r="102" spans="1:2">
      <c r="A102" s="7" t="s">
        <v>1476</v>
      </c>
      <c r="B102" s="7" t="s">
        <v>1477</v>
      </c>
    </row>
    <row r="103" spans="1:2">
      <c r="A103" s="6" t="s">
        <v>1160</v>
      </c>
      <c r="B103" s="7" t="s">
        <v>1478</v>
      </c>
    </row>
    <row r="104" spans="1:2">
      <c r="A104" s="6" t="s">
        <v>1479</v>
      </c>
      <c r="B104" s="7" t="s">
        <v>1480</v>
      </c>
    </row>
    <row r="105" spans="1:2">
      <c r="A105" s="6" t="s">
        <v>239</v>
      </c>
      <c r="B105" s="7" t="s">
        <v>1481</v>
      </c>
    </row>
    <row r="106" spans="1:2">
      <c r="A106" s="7" t="s">
        <v>1482</v>
      </c>
      <c r="B106" s="7" t="s">
        <v>1483</v>
      </c>
    </row>
    <row r="107" spans="1:2">
      <c r="A107" s="7" t="s">
        <v>1484</v>
      </c>
      <c r="B107" s="7" t="s">
        <v>1485</v>
      </c>
    </row>
    <row r="108" spans="1:2">
      <c r="A108" s="6" t="s">
        <v>1486</v>
      </c>
      <c r="B108" s="7" t="s">
        <v>1487</v>
      </c>
    </row>
    <row r="109" spans="1:2">
      <c r="A109" s="6" t="s">
        <v>1488</v>
      </c>
      <c r="B109" s="7" t="s">
        <v>1489</v>
      </c>
    </row>
    <row r="110" spans="1:2">
      <c r="A110" s="6" t="s">
        <v>1490</v>
      </c>
      <c r="B110" s="7" t="s">
        <v>1491</v>
      </c>
    </row>
    <row r="111" spans="1:2">
      <c r="A111" s="6" t="s">
        <v>1492</v>
      </c>
      <c r="B111" s="6" t="s">
        <v>1493</v>
      </c>
    </row>
    <row r="112" spans="1:2">
      <c r="A112" s="6" t="s">
        <v>795</v>
      </c>
      <c r="B112" s="7" t="s">
        <v>1494</v>
      </c>
    </row>
    <row r="113" spans="1:2">
      <c r="A113" s="7" t="s">
        <v>1495</v>
      </c>
      <c r="B113" s="7" t="s">
        <v>1496</v>
      </c>
    </row>
    <row r="114" spans="1:2">
      <c r="A114" s="6" t="s">
        <v>1497</v>
      </c>
      <c r="B114" s="7" t="s">
        <v>1498</v>
      </c>
    </row>
    <row r="115" spans="1:2">
      <c r="A115" s="6" t="s">
        <v>1499</v>
      </c>
      <c r="B115" s="7" t="s">
        <v>1500</v>
      </c>
    </row>
    <row r="116" spans="1:2">
      <c r="A116" s="6" t="s">
        <v>1501</v>
      </c>
      <c r="B116" s="7" t="s">
        <v>1502</v>
      </c>
    </row>
    <row r="117" spans="1:2">
      <c r="A117" s="6" t="s">
        <v>622</v>
      </c>
      <c r="B117" s="7" t="s">
        <v>1503</v>
      </c>
    </row>
    <row r="118" spans="1:2">
      <c r="A118" s="6" t="s">
        <v>1504</v>
      </c>
      <c r="B118" s="7" t="s">
        <v>1505</v>
      </c>
    </row>
    <row r="119" spans="1:2">
      <c r="A119" s="7" t="s">
        <v>715</v>
      </c>
      <c r="B119" s="7" t="s">
        <v>1506</v>
      </c>
    </row>
    <row r="120" spans="1:2">
      <c r="A120" s="6" t="s">
        <v>336</v>
      </c>
      <c r="B120" s="7" t="s">
        <v>1507</v>
      </c>
    </row>
    <row r="121" spans="1:2">
      <c r="A121" s="6" t="s">
        <v>210</v>
      </c>
      <c r="B121" s="7" t="s">
        <v>1508</v>
      </c>
    </row>
    <row r="122" spans="1:2">
      <c r="A122" s="6" t="s">
        <v>288</v>
      </c>
      <c r="B122" s="7" t="s">
        <v>1509</v>
      </c>
    </row>
    <row r="123" spans="1:2">
      <c r="A123" s="7" t="s">
        <v>1510</v>
      </c>
      <c r="B123" s="7" t="s">
        <v>1511</v>
      </c>
    </row>
    <row r="124" spans="1:2">
      <c r="A124" s="6" t="s">
        <v>1012</v>
      </c>
      <c r="B124" s="7" t="s">
        <v>1512</v>
      </c>
    </row>
    <row r="125" spans="1:2">
      <c r="A125" s="7" t="s">
        <v>1513</v>
      </c>
      <c r="B125" s="7" t="s">
        <v>1514</v>
      </c>
    </row>
    <row r="126" spans="1:2">
      <c r="A126" s="6" t="s">
        <v>322</v>
      </c>
      <c r="B126" s="7" t="s">
        <v>1515</v>
      </c>
    </row>
    <row r="127" spans="1:2">
      <c r="A127" s="6" t="s">
        <v>1516</v>
      </c>
      <c r="B127" s="6" t="s">
        <v>1517</v>
      </c>
    </row>
    <row r="128" spans="1:2">
      <c r="A128" s="7" t="s">
        <v>1518</v>
      </c>
      <c r="B128" s="7" t="s">
        <v>1519</v>
      </c>
    </row>
    <row r="129" spans="1:2">
      <c r="A129" s="7" t="s">
        <v>1520</v>
      </c>
      <c r="B129" s="7" t="s">
        <v>1521</v>
      </c>
    </row>
    <row r="130" spans="1:2">
      <c r="A130" s="6" t="s">
        <v>1522</v>
      </c>
      <c r="B130" s="10" t="s">
        <v>1523</v>
      </c>
    </row>
    <row r="131" spans="1:2">
      <c r="A131" s="6" t="s">
        <v>1524</v>
      </c>
      <c r="B131" s="7" t="s">
        <v>1525</v>
      </c>
    </row>
    <row r="132" spans="1:2">
      <c r="A132" s="7" t="s">
        <v>1526</v>
      </c>
      <c r="B132" s="7" t="s">
        <v>1527</v>
      </c>
    </row>
    <row r="133" spans="1:2">
      <c r="A133" s="7" t="s">
        <v>1528</v>
      </c>
      <c r="B133" s="7" t="s">
        <v>1529</v>
      </c>
    </row>
    <row r="134" spans="1:2">
      <c r="A134" s="6" t="s">
        <v>1530</v>
      </c>
      <c r="B134" s="7" t="s">
        <v>1531</v>
      </c>
    </row>
    <row r="135" spans="1:2">
      <c r="A135" s="6" t="s">
        <v>530</v>
      </c>
      <c r="B135" s="7" t="s">
        <v>1532</v>
      </c>
    </row>
    <row r="136" spans="1:2">
      <c r="A136" s="6" t="s">
        <v>1533</v>
      </c>
      <c r="B136" s="7" t="s">
        <v>1534</v>
      </c>
    </row>
    <row r="137" spans="1:2">
      <c r="A137" s="6" t="s">
        <v>1238</v>
      </c>
      <c r="B137" s="7" t="s">
        <v>1535</v>
      </c>
    </row>
    <row r="138" spans="1:2">
      <c r="A138" s="6" t="s">
        <v>1536</v>
      </c>
      <c r="B138" s="7" t="s">
        <v>1537</v>
      </c>
    </row>
    <row r="139" spans="1:2">
      <c r="A139" s="6" t="s">
        <v>1538</v>
      </c>
      <c r="B139" s="7" t="s">
        <v>1539</v>
      </c>
    </row>
    <row r="140" spans="1:2">
      <c r="A140" s="6" t="s">
        <v>1540</v>
      </c>
      <c r="B140" s="7" t="s">
        <v>1541</v>
      </c>
    </row>
    <row r="141" spans="1:2">
      <c r="A141" s="6" t="s">
        <v>1542</v>
      </c>
      <c r="B141" s="6" t="s">
        <v>1543</v>
      </c>
    </row>
    <row r="142" spans="1:2">
      <c r="A142" s="6" t="s">
        <v>1544</v>
      </c>
      <c r="B142" s="7" t="s">
        <v>1545</v>
      </c>
    </row>
    <row r="143" spans="1:2">
      <c r="A143" s="6" t="s">
        <v>1546</v>
      </c>
      <c r="B143" s="7" t="s">
        <v>1547</v>
      </c>
    </row>
    <row r="144" spans="1:2">
      <c r="A144" s="6" t="s">
        <v>1548</v>
      </c>
      <c r="B144" s="7" t="s">
        <v>1549</v>
      </c>
    </row>
    <row r="145" spans="1:2">
      <c r="A145" s="6" t="s">
        <v>1550</v>
      </c>
      <c r="B145" s="7" t="s">
        <v>1551</v>
      </c>
    </row>
    <row r="146" spans="1:2">
      <c r="A146" s="6" t="s">
        <v>1552</v>
      </c>
      <c r="B146" s="7" t="s">
        <v>1553</v>
      </c>
    </row>
    <row r="147" spans="1:2">
      <c r="A147" s="6" t="s">
        <v>1554</v>
      </c>
      <c r="B147" s="7" t="s">
        <v>1555</v>
      </c>
    </row>
    <row r="148" spans="1:2">
      <c r="A148" s="6" t="s">
        <v>1556</v>
      </c>
      <c r="B148" s="7" t="s">
        <v>1557</v>
      </c>
    </row>
    <row r="149" spans="1:2">
      <c r="A149" s="6" t="s">
        <v>1558</v>
      </c>
      <c r="B149" s="7" t="s">
        <v>1559</v>
      </c>
    </row>
    <row r="150" spans="1:2">
      <c r="A150" s="6" t="s">
        <v>1560</v>
      </c>
      <c r="B150" s="6" t="s">
        <v>1561</v>
      </c>
    </row>
    <row r="151" spans="1:2">
      <c r="A151" s="7" t="s">
        <v>1562</v>
      </c>
      <c r="B151" s="7" t="s">
        <v>1563</v>
      </c>
    </row>
    <row r="152" spans="1:2">
      <c r="A152" s="6" t="s">
        <v>1564</v>
      </c>
      <c r="B152" s="7" t="s">
        <v>1565</v>
      </c>
    </row>
    <row r="153" spans="1:2">
      <c r="A153" s="6" t="s">
        <v>1566</v>
      </c>
      <c r="B153" s="7" t="s">
        <v>1567</v>
      </c>
    </row>
    <row r="154" spans="1:2">
      <c r="A154" s="6" t="s">
        <v>1568</v>
      </c>
      <c r="B154" s="7" t="s">
        <v>1569</v>
      </c>
    </row>
    <row r="155" spans="1:2">
      <c r="A155" s="7" t="s">
        <v>1570</v>
      </c>
      <c r="B155" s="7" t="s">
        <v>1571</v>
      </c>
    </row>
    <row r="156" spans="1:2">
      <c r="A156" s="6" t="s">
        <v>1572</v>
      </c>
      <c r="B156" s="7" t="s">
        <v>1573</v>
      </c>
    </row>
    <row r="157" spans="1:2">
      <c r="A157" s="6" t="s">
        <v>1574</v>
      </c>
      <c r="B157" s="7" t="s">
        <v>1575</v>
      </c>
    </row>
    <row r="158" spans="1:2">
      <c r="A158" s="6" t="s">
        <v>1576</v>
      </c>
      <c r="B158" s="7" t="s">
        <v>1577</v>
      </c>
    </row>
    <row r="159" spans="1:2">
      <c r="A159" s="7" t="s">
        <v>1578</v>
      </c>
      <c r="B159" s="7" t="s">
        <v>1579</v>
      </c>
    </row>
    <row r="160" spans="1:2">
      <c r="A160" s="6" t="s">
        <v>1580</v>
      </c>
      <c r="B160" s="7" t="s">
        <v>1581</v>
      </c>
    </row>
    <row r="161" spans="1:2">
      <c r="A161" s="6" t="s">
        <v>1582</v>
      </c>
      <c r="B161" s="7" t="s">
        <v>1583</v>
      </c>
    </row>
    <row r="162" spans="1:2">
      <c r="A162" s="6" t="s">
        <v>1584</v>
      </c>
      <c r="B162" s="7" t="s">
        <v>1585</v>
      </c>
    </row>
    <row r="163" spans="1:2">
      <c r="A163" s="6" t="s">
        <v>1586</v>
      </c>
      <c r="B163" s="7" t="s">
        <v>1587</v>
      </c>
    </row>
    <row r="164" spans="1:2">
      <c r="A164" s="6" t="s">
        <v>1588</v>
      </c>
      <c r="B164" s="7" t="s">
        <v>1589</v>
      </c>
    </row>
    <row r="165" spans="1:2">
      <c r="A165" s="6" t="s">
        <v>1590</v>
      </c>
      <c r="B165" s="7" t="s">
        <v>1591</v>
      </c>
    </row>
    <row r="166" spans="1:2">
      <c r="A166" s="6" t="s">
        <v>1592</v>
      </c>
      <c r="B166" s="7" t="s">
        <v>1593</v>
      </c>
    </row>
    <row r="167" spans="1:2">
      <c r="A167" s="6" t="s">
        <v>1594</v>
      </c>
      <c r="B167" s="7" t="s">
        <v>1595</v>
      </c>
    </row>
    <row r="168" spans="1:2">
      <c r="A168" s="6" t="s">
        <v>1596</v>
      </c>
      <c r="B168" s="7" t="s">
        <v>1597</v>
      </c>
    </row>
    <row r="169" spans="1:2">
      <c r="A169" s="6" t="s">
        <v>1598</v>
      </c>
      <c r="B169" s="7" t="s">
        <v>1599</v>
      </c>
    </row>
    <row r="170" spans="1:2">
      <c r="A170" s="6" t="s">
        <v>1600</v>
      </c>
      <c r="B170" s="7" t="s">
        <v>1601</v>
      </c>
    </row>
    <row r="171" spans="1:2">
      <c r="A171" s="6" t="s">
        <v>1602</v>
      </c>
      <c r="B171" s="7" t="s">
        <v>1603</v>
      </c>
    </row>
    <row r="172" spans="1:2">
      <c r="A172" s="6" t="s">
        <v>1604</v>
      </c>
      <c r="B172" s="6" t="s">
        <v>1605</v>
      </c>
    </row>
    <row r="173" spans="1:2">
      <c r="A173" s="6" t="s">
        <v>1606</v>
      </c>
      <c r="B173" s="7" t="s">
        <v>1607</v>
      </c>
    </row>
    <row r="174" spans="1:2">
      <c r="A174" s="6" t="s">
        <v>1608</v>
      </c>
      <c r="B174" s="7" t="s">
        <v>1609</v>
      </c>
    </row>
    <row r="175" spans="1:2">
      <c r="A175" s="6" t="s">
        <v>1610</v>
      </c>
      <c r="B175" s="6" t="s">
        <v>1611</v>
      </c>
    </row>
    <row r="176" spans="1:2">
      <c r="A176" s="6" t="s">
        <v>1612</v>
      </c>
      <c r="B176" s="7" t="s">
        <v>1613</v>
      </c>
    </row>
    <row r="177" spans="1:2">
      <c r="A177" s="6" t="s">
        <v>1614</v>
      </c>
      <c r="B177" s="7" t="s">
        <v>1615</v>
      </c>
    </row>
    <row r="178" spans="1:2">
      <c r="A178" s="6" t="s">
        <v>1616</v>
      </c>
      <c r="B178" s="7" t="s">
        <v>1617</v>
      </c>
    </row>
    <row r="179" spans="1:2">
      <c r="A179" s="6" t="s">
        <v>1618</v>
      </c>
      <c r="B179" s="7" t="s">
        <v>1619</v>
      </c>
    </row>
    <row r="180" spans="1:2">
      <c r="A180" s="6" t="s">
        <v>1620</v>
      </c>
      <c r="B180" s="6" t="s">
        <v>1621</v>
      </c>
    </row>
    <row r="181" spans="1:2">
      <c r="A181" s="7" t="s">
        <v>1622</v>
      </c>
      <c r="B181" s="7" t="s">
        <v>1623</v>
      </c>
    </row>
    <row r="182" spans="1:2">
      <c r="A182" s="7" t="s">
        <v>1624</v>
      </c>
      <c r="B182" s="7" t="s">
        <v>1625</v>
      </c>
    </row>
    <row r="183" spans="1:2">
      <c r="A183" s="6" t="s">
        <v>1626</v>
      </c>
      <c r="B183" s="7" t="s">
        <v>1627</v>
      </c>
    </row>
    <row r="184" spans="1:2">
      <c r="A184" s="6" t="s">
        <v>1628</v>
      </c>
      <c r="B184" s="7" t="s">
        <v>1629</v>
      </c>
    </row>
    <row r="185" spans="1:2">
      <c r="A185" s="6" t="s">
        <v>1630</v>
      </c>
      <c r="B185" s="7" t="s">
        <v>1631</v>
      </c>
    </row>
    <row r="186" spans="1:2">
      <c r="A186" s="6" t="s">
        <v>1632</v>
      </c>
      <c r="B186" s="7" t="s">
        <v>1633</v>
      </c>
    </row>
    <row r="187" spans="1:2">
      <c r="A187" s="6" t="s">
        <v>1634</v>
      </c>
      <c r="B187" s="7" t="s">
        <v>1635</v>
      </c>
    </row>
    <row r="188" spans="1:2">
      <c r="A188" s="6" t="s">
        <v>1636</v>
      </c>
      <c r="B188" s="7" t="s">
        <v>1637</v>
      </c>
    </row>
    <row r="189" spans="1:2">
      <c r="A189" s="6" t="s">
        <v>1638</v>
      </c>
      <c r="B189" s="7" t="s">
        <v>1639</v>
      </c>
    </row>
    <row r="190" spans="1:2">
      <c r="A190" s="6" t="s">
        <v>1640</v>
      </c>
      <c r="B190" s="7" t="s">
        <v>1641</v>
      </c>
    </row>
    <row r="191" spans="1:2">
      <c r="A191" s="6" t="s">
        <v>1642</v>
      </c>
      <c r="B191" s="7" t="s">
        <v>1643</v>
      </c>
    </row>
    <row r="192" spans="1:2">
      <c r="A192" s="6" t="s">
        <v>1644</v>
      </c>
      <c r="B192" s="6" t="s">
        <v>1645</v>
      </c>
    </row>
    <row r="193" spans="1:2">
      <c r="A193" s="6" t="s">
        <v>1646</v>
      </c>
      <c r="B193" s="7" t="s">
        <v>1647</v>
      </c>
    </row>
    <row r="194" spans="1:2">
      <c r="A194" s="6" t="s">
        <v>1648</v>
      </c>
      <c r="B194" s="6" t="s">
        <v>1649</v>
      </c>
    </row>
    <row r="195" spans="1:2">
      <c r="A195" s="6" t="s">
        <v>1650</v>
      </c>
      <c r="B195" s="7" t="s">
        <v>1651</v>
      </c>
    </row>
    <row r="196" spans="1:2">
      <c r="A196" s="6" t="s">
        <v>1652</v>
      </c>
      <c r="B196" s="6" t="s">
        <v>1653</v>
      </c>
    </row>
    <row r="197" spans="1:2">
      <c r="A197" s="6" t="s">
        <v>1654</v>
      </c>
      <c r="B197" s="7" t="s">
        <v>1655</v>
      </c>
    </row>
    <row r="198" spans="1:2">
      <c r="A198" s="6" t="s">
        <v>1656</v>
      </c>
      <c r="B198" s="7" t="s">
        <v>1657</v>
      </c>
    </row>
    <row r="199" spans="1:2">
      <c r="A199" s="6" t="s">
        <v>1658</v>
      </c>
      <c r="B199" s="7" t="s">
        <v>1659</v>
      </c>
    </row>
    <row r="200" spans="1:2">
      <c r="A200" s="6" t="s">
        <v>1660</v>
      </c>
      <c r="B200" s="7" t="s">
        <v>1661</v>
      </c>
    </row>
    <row r="201" spans="1:2">
      <c r="A201" s="6" t="s">
        <v>1662</v>
      </c>
      <c r="B201" s="7" t="s">
        <v>1663</v>
      </c>
    </row>
    <row r="202" spans="1:2">
      <c r="A202" s="6" t="s">
        <v>1664</v>
      </c>
      <c r="B202" s="7" t="s">
        <v>1665</v>
      </c>
    </row>
    <row r="203" spans="1:2">
      <c r="A203" s="6" t="s">
        <v>1666</v>
      </c>
      <c r="B203" s="7" t="s">
        <v>1667</v>
      </c>
    </row>
    <row r="204" spans="1:2">
      <c r="A204" s="6" t="s">
        <v>1668</v>
      </c>
      <c r="B204" s="7" t="s">
        <v>1669</v>
      </c>
    </row>
    <row r="205" spans="1:2">
      <c r="A205" s="6" t="s">
        <v>1670</v>
      </c>
      <c r="B205" s="7" t="s">
        <v>1671</v>
      </c>
    </row>
    <row r="206" spans="1:2">
      <c r="A206" s="6" t="s">
        <v>1672</v>
      </c>
      <c r="B206" s="6" t="s">
        <v>1673</v>
      </c>
    </row>
    <row r="207" spans="1:2">
      <c r="A207" s="6" t="s">
        <v>1674</v>
      </c>
      <c r="B207" s="7" t="s">
        <v>1675</v>
      </c>
    </row>
    <row r="208" spans="1:2">
      <c r="A208" s="6" t="s">
        <v>1676</v>
      </c>
      <c r="B208" s="7" t="s">
        <v>1677</v>
      </c>
    </row>
    <row r="209" spans="1:2">
      <c r="A209" s="6" t="s">
        <v>1678</v>
      </c>
      <c r="B209" s="7" t="s">
        <v>1679</v>
      </c>
    </row>
    <row r="210" spans="1:2">
      <c r="A210" s="6" t="s">
        <v>1680</v>
      </c>
      <c r="B210" s="7" t="s">
        <v>1681</v>
      </c>
    </row>
    <row r="211" spans="1:2">
      <c r="A211" s="6" t="s">
        <v>1682</v>
      </c>
      <c r="B211" s="7" t="s">
        <v>1683</v>
      </c>
    </row>
    <row r="212" spans="1:2">
      <c r="A212" s="6" t="s">
        <v>1684</v>
      </c>
      <c r="B212" s="7" t="s">
        <v>1685</v>
      </c>
    </row>
    <row r="213" spans="1:2">
      <c r="A213" s="6" t="s">
        <v>1686</v>
      </c>
      <c r="B213" s="7" t="s">
        <v>1687</v>
      </c>
    </row>
    <row r="214" spans="1:2">
      <c r="A214" s="6" t="s">
        <v>1688</v>
      </c>
      <c r="B214" s="6" t="s">
        <v>1689</v>
      </c>
    </row>
    <row r="215" spans="1:2">
      <c r="A215" s="6" t="s">
        <v>1690</v>
      </c>
      <c r="B215" s="6" t="s">
        <v>1691</v>
      </c>
    </row>
    <row r="216" spans="1:2">
      <c r="A216" s="6" t="s">
        <v>1692</v>
      </c>
      <c r="B216" s="7" t="s">
        <v>1693</v>
      </c>
    </row>
    <row r="217" spans="1:2">
      <c r="A217" s="6" t="s">
        <v>1694</v>
      </c>
      <c r="B217" s="6" t="s">
        <v>1695</v>
      </c>
    </row>
    <row r="218" spans="1:2">
      <c r="A218" s="6" t="s">
        <v>1696</v>
      </c>
      <c r="B218" s="6" t="s">
        <v>1697</v>
      </c>
    </row>
    <row r="219" spans="1:2">
      <c r="A219" s="6" t="s">
        <v>1698</v>
      </c>
      <c r="B219" s="7" t="s">
        <v>1699</v>
      </c>
    </row>
    <row r="220" spans="1:2">
      <c r="A220" s="6" t="s">
        <v>1700</v>
      </c>
      <c r="B220" s="7" t="s">
        <v>1701</v>
      </c>
    </row>
    <row r="221" spans="1:2">
      <c r="A221" s="6" t="s">
        <v>1702</v>
      </c>
      <c r="B221" s="6" t="s">
        <v>1703</v>
      </c>
    </row>
    <row r="222" spans="1:2">
      <c r="A222" s="6" t="s">
        <v>1704</v>
      </c>
      <c r="B222" s="6" t="s">
        <v>1705</v>
      </c>
    </row>
    <row r="223" spans="1:2">
      <c r="A223" s="6" t="s">
        <v>1706</v>
      </c>
      <c r="B223" s="7" t="s">
        <v>1707</v>
      </c>
    </row>
    <row r="224" spans="1:2">
      <c r="A224" s="6" t="s">
        <v>1708</v>
      </c>
      <c r="B224" s="7" t="s">
        <v>1709</v>
      </c>
    </row>
    <row r="225" spans="1:2">
      <c r="A225" s="6" t="s">
        <v>1710</v>
      </c>
      <c r="B225" s="7" t="s">
        <v>1711</v>
      </c>
    </row>
    <row r="226" spans="1:2">
      <c r="A226" s="6" t="s">
        <v>1712</v>
      </c>
      <c r="B226" s="7" t="s">
        <v>1713</v>
      </c>
    </row>
    <row r="227" spans="1:2">
      <c r="A227" s="6" t="s">
        <v>1714</v>
      </c>
      <c r="B227" s="6" t="s">
        <v>1715</v>
      </c>
    </row>
    <row r="228" spans="1:2">
      <c r="A228" s="6" t="s">
        <v>1716</v>
      </c>
      <c r="B228" s="7" t="s">
        <v>1717</v>
      </c>
    </row>
    <row r="229" spans="1:2">
      <c r="A229" s="6" t="s">
        <v>1718</v>
      </c>
      <c r="B229" s="7" t="s">
        <v>1719</v>
      </c>
    </row>
    <row r="230" spans="1:2">
      <c r="A230" s="6" t="s">
        <v>1720</v>
      </c>
      <c r="B230" s="7" t="s">
        <v>1721</v>
      </c>
    </row>
    <row r="231" spans="1:2">
      <c r="A231" s="6" t="s">
        <v>1722</v>
      </c>
      <c r="B231" s="7" t="s">
        <v>1723</v>
      </c>
    </row>
    <row r="232" spans="1:2">
      <c r="A232" s="6" t="s">
        <v>1724</v>
      </c>
      <c r="B232" s="7" t="s">
        <v>1725</v>
      </c>
    </row>
    <row r="233" spans="1:2">
      <c r="A233" s="6" t="s">
        <v>1726</v>
      </c>
      <c r="B233" s="7" t="s">
        <v>1727</v>
      </c>
    </row>
    <row r="234" spans="1:2">
      <c r="A234" s="6" t="s">
        <v>1728</v>
      </c>
      <c r="B234" s="7" t="s">
        <v>1729</v>
      </c>
    </row>
    <row r="235" spans="1:2">
      <c r="A235" s="6" t="s">
        <v>1730</v>
      </c>
      <c r="B235" s="7" t="s">
        <v>1731</v>
      </c>
    </row>
    <row r="236" spans="1:2">
      <c r="A236" s="6" t="s">
        <v>1732</v>
      </c>
      <c r="B236" s="6" t="s">
        <v>1733</v>
      </c>
    </row>
    <row r="237" spans="1:2">
      <c r="A237" s="6" t="s">
        <v>1734</v>
      </c>
      <c r="B237" s="7" t="s">
        <v>1735</v>
      </c>
    </row>
    <row r="238" spans="1:2">
      <c r="A238" s="6" t="s">
        <v>1736</v>
      </c>
      <c r="B238" s="7" t="s">
        <v>1737</v>
      </c>
    </row>
    <row r="239" spans="1:2">
      <c r="A239" s="6" t="s">
        <v>1738</v>
      </c>
      <c r="B239" s="7" t="s">
        <v>1739</v>
      </c>
    </row>
    <row r="240" spans="1:2">
      <c r="A240" s="6" t="s">
        <v>1740</v>
      </c>
      <c r="B240" s="6" t="s">
        <v>1741</v>
      </c>
    </row>
    <row r="241" spans="1:2">
      <c r="A241" s="6" t="s">
        <v>1742</v>
      </c>
      <c r="B241" s="7" t="s">
        <v>1743</v>
      </c>
    </row>
    <row r="242" spans="1:2">
      <c r="A242" s="6" t="s">
        <v>1744</v>
      </c>
      <c r="B242" s="6" t="s">
        <v>1745</v>
      </c>
    </row>
    <row r="243" spans="1:2">
      <c r="A243" s="6" t="s">
        <v>1746</v>
      </c>
      <c r="B243" s="7" t="s">
        <v>1747</v>
      </c>
    </row>
    <row r="244" spans="1:2">
      <c r="A244" s="6" t="s">
        <v>1748</v>
      </c>
      <c r="B244" s="7" t="s">
        <v>1749</v>
      </c>
    </row>
    <row r="245" spans="1:2">
      <c r="A245" s="6" t="s">
        <v>1750</v>
      </c>
      <c r="B245" s="7" t="s">
        <v>1751</v>
      </c>
    </row>
    <row r="246" spans="1:2">
      <c r="A246" s="6" t="s">
        <v>1752</v>
      </c>
      <c r="B246" s="7" t="s">
        <v>1753</v>
      </c>
    </row>
    <row r="247" spans="1:2">
      <c r="A247" s="6" t="s">
        <v>1754</v>
      </c>
      <c r="B247" s="7" t="s">
        <v>1755</v>
      </c>
    </row>
    <row r="248" spans="1:2">
      <c r="A248" s="6" t="s">
        <v>1756</v>
      </c>
      <c r="B248" s="7" t="s">
        <v>1757</v>
      </c>
    </row>
    <row r="249" spans="1:2">
      <c r="A249" s="6" t="s">
        <v>1758</v>
      </c>
      <c r="B249" s="7" t="s">
        <v>1759</v>
      </c>
    </row>
    <row r="250" spans="1:2">
      <c r="A250" s="6" t="s">
        <v>1760</v>
      </c>
      <c r="B250" s="7" t="s">
        <v>1761</v>
      </c>
    </row>
    <row r="251" spans="1:2">
      <c r="A251" s="7" t="s">
        <v>1762</v>
      </c>
      <c r="B251" s="7" t="s">
        <v>1763</v>
      </c>
    </row>
    <row r="252" spans="1:2">
      <c r="A252" s="6" t="s">
        <v>1764</v>
      </c>
      <c r="B252" s="7" t="s">
        <v>1765</v>
      </c>
    </row>
    <row r="253" spans="1:2">
      <c r="A253" s="6" t="s">
        <v>1766</v>
      </c>
      <c r="B253" s="7" t="s">
        <v>1767</v>
      </c>
    </row>
    <row r="254" spans="1:2">
      <c r="A254" s="6" t="s">
        <v>1768</v>
      </c>
      <c r="B254" s="7" t="s">
        <v>1769</v>
      </c>
    </row>
    <row r="255" spans="1:2">
      <c r="A255" s="6" t="s">
        <v>1770</v>
      </c>
      <c r="B255" s="6" t="s">
        <v>1771</v>
      </c>
    </row>
    <row r="256" spans="1:2">
      <c r="A256" s="7" t="s">
        <v>1772</v>
      </c>
      <c r="B256" s="7" t="s">
        <v>1773</v>
      </c>
    </row>
    <row r="257" spans="1:2">
      <c r="A257" s="6" t="s">
        <v>1774</v>
      </c>
      <c r="B257" s="6" t="s">
        <v>1775</v>
      </c>
    </row>
    <row r="258" spans="1:2">
      <c r="A258" s="6" t="s">
        <v>1776</v>
      </c>
      <c r="B258" s="7" t="s">
        <v>1777</v>
      </c>
    </row>
    <row r="259" spans="1:2">
      <c r="A259" s="7" t="s">
        <v>1778</v>
      </c>
      <c r="B259" s="7" t="s">
        <v>1779</v>
      </c>
    </row>
    <row r="260" spans="1:2">
      <c r="A260" s="6" t="s">
        <v>1780</v>
      </c>
      <c r="B260" s="6" t="s">
        <v>1781</v>
      </c>
    </row>
    <row r="261" spans="1:2">
      <c r="A261" s="6" t="s">
        <v>1782</v>
      </c>
      <c r="B261" s="6" t="s">
        <v>1783</v>
      </c>
    </row>
    <row r="262" spans="1:2">
      <c r="A262" s="7" t="s">
        <v>1784</v>
      </c>
      <c r="B262" s="7" t="s">
        <v>1785</v>
      </c>
    </row>
    <row r="263" spans="1:2">
      <c r="A263" s="6" t="s">
        <v>1786</v>
      </c>
      <c r="B263" s="7" t="s">
        <v>1787</v>
      </c>
    </row>
    <row r="264" spans="1:2">
      <c r="A264" s="6" t="s">
        <v>1788</v>
      </c>
      <c r="B264" s="7" t="s">
        <v>1789</v>
      </c>
    </row>
    <row r="265" spans="1:2">
      <c r="A265" s="7" t="s">
        <v>1790</v>
      </c>
      <c r="B265" s="7" t="s">
        <v>1791</v>
      </c>
    </row>
    <row r="266" spans="1:2">
      <c r="A266" s="6" t="s">
        <v>1792</v>
      </c>
      <c r="B266" s="7" t="s">
        <v>1793</v>
      </c>
    </row>
    <row r="267" spans="1:2">
      <c r="A267" s="9" t="s">
        <v>846</v>
      </c>
      <c r="B267" s="7" t="s">
        <v>1794</v>
      </c>
    </row>
    <row r="268" spans="1:2">
      <c r="A268" s="7" t="s">
        <v>1795</v>
      </c>
      <c r="B268" s="7" t="s">
        <v>1796</v>
      </c>
    </row>
    <row r="269" spans="1:2">
      <c r="A269" s="6" t="s">
        <v>410</v>
      </c>
      <c r="B269" s="7" t="s">
        <v>1797</v>
      </c>
    </row>
    <row r="270" spans="1:2">
      <c r="A270" s="6" t="s">
        <v>1798</v>
      </c>
      <c r="B270" s="7" t="s">
        <v>1799</v>
      </c>
    </row>
    <row r="271" spans="1:2">
      <c r="A271" s="6" t="s">
        <v>1800</v>
      </c>
      <c r="B271" s="6" t="s">
        <v>1801</v>
      </c>
    </row>
    <row r="272" spans="1:2">
      <c r="A272" s="6" t="s">
        <v>1802</v>
      </c>
      <c r="B272" s="7" t="s">
        <v>1803</v>
      </c>
    </row>
    <row r="273" spans="1:2">
      <c r="A273" s="6" t="s">
        <v>1804</v>
      </c>
      <c r="B273" s="7" t="s">
        <v>1805</v>
      </c>
    </row>
    <row r="274" spans="1:2">
      <c r="A274" s="6" t="s">
        <v>1806</v>
      </c>
      <c r="B274" s="7" t="s">
        <v>1807</v>
      </c>
    </row>
    <row r="275" spans="1:2">
      <c r="A275" s="6" t="s">
        <v>1808</v>
      </c>
      <c r="B275" s="7" t="s">
        <v>1809</v>
      </c>
    </row>
    <row r="276" spans="1:2">
      <c r="A276" s="6" t="s">
        <v>1810</v>
      </c>
      <c r="B276" s="7" t="s">
        <v>1811</v>
      </c>
    </row>
    <row r="277" spans="1:2">
      <c r="A277" s="6" t="s">
        <v>1812</v>
      </c>
      <c r="B277" s="7" t="s">
        <v>1813</v>
      </c>
    </row>
    <row r="278" spans="1:2">
      <c r="A278" s="6" t="s">
        <v>1814</v>
      </c>
      <c r="B278" s="7" t="s">
        <v>1815</v>
      </c>
    </row>
    <row r="279" spans="1:2">
      <c r="A279" s="6" t="s">
        <v>1816</v>
      </c>
      <c r="B279" s="7" t="s">
        <v>1817</v>
      </c>
    </row>
    <row r="280" spans="1:2">
      <c r="A280" s="6" t="s">
        <v>1818</v>
      </c>
      <c r="B280" s="7" t="s">
        <v>1819</v>
      </c>
    </row>
    <row r="281" spans="1:2">
      <c r="A281" s="6" t="s">
        <v>1820</v>
      </c>
      <c r="B281" s="6" t="s">
        <v>1821</v>
      </c>
    </row>
    <row r="282" spans="1:2">
      <c r="A282" s="6" t="s">
        <v>1822</v>
      </c>
      <c r="B282" s="6" t="s">
        <v>1823</v>
      </c>
    </row>
    <row r="283" spans="1:2">
      <c r="A283" s="7" t="s">
        <v>1824</v>
      </c>
      <c r="B283" s="7" t="s">
        <v>1825</v>
      </c>
    </row>
    <row r="284" spans="1:2">
      <c r="A284" s="6" t="s">
        <v>1826</v>
      </c>
      <c r="B284" s="7" t="s">
        <v>1827</v>
      </c>
    </row>
    <row r="285" spans="1:2">
      <c r="A285" s="7" t="s">
        <v>1828</v>
      </c>
      <c r="B285" s="7" t="s">
        <v>1829</v>
      </c>
    </row>
    <row r="286" spans="1:2">
      <c r="A286" s="6" t="s">
        <v>1830</v>
      </c>
      <c r="B286" s="7" t="s">
        <v>1831</v>
      </c>
    </row>
    <row r="287" spans="1:2">
      <c r="A287" s="6" t="s">
        <v>1832</v>
      </c>
      <c r="B287" s="6" t="s">
        <v>1833</v>
      </c>
    </row>
    <row r="288" spans="1:2">
      <c r="A288" s="6" t="s">
        <v>1834</v>
      </c>
      <c r="B288" s="6" t="s">
        <v>1835</v>
      </c>
    </row>
    <row r="289" spans="1:2">
      <c r="A289" s="6" t="s">
        <v>1836</v>
      </c>
      <c r="B289" s="6" t="s">
        <v>1837</v>
      </c>
    </row>
    <row r="290" spans="1:2">
      <c r="A290" s="6" t="s">
        <v>1838</v>
      </c>
      <c r="B290" s="7" t="s">
        <v>1839</v>
      </c>
    </row>
    <row r="291" spans="1:2">
      <c r="A291" s="6" t="s">
        <v>1840</v>
      </c>
      <c r="B291" s="7" t="s">
        <v>1841</v>
      </c>
    </row>
    <row r="292" spans="1:2">
      <c r="A292" s="6" t="s">
        <v>1842</v>
      </c>
      <c r="B292" s="7" t="s">
        <v>1843</v>
      </c>
    </row>
    <row r="293" spans="1:2">
      <c r="A293" s="6" t="s">
        <v>1844</v>
      </c>
      <c r="B293" s="7" t="s">
        <v>1845</v>
      </c>
    </row>
    <row r="294" spans="1:2">
      <c r="A294" s="6" t="s">
        <v>1846</v>
      </c>
      <c r="B294" s="7" t="s">
        <v>1847</v>
      </c>
    </row>
    <row r="295" spans="1:2">
      <c r="A295" s="6" t="s">
        <v>1848</v>
      </c>
      <c r="B295" s="6" t="s">
        <v>1849</v>
      </c>
    </row>
    <row r="296" spans="1:2">
      <c r="A296" s="6" t="s">
        <v>1850</v>
      </c>
      <c r="B296" s="7" t="s">
        <v>1851</v>
      </c>
    </row>
    <row r="297" spans="1:2">
      <c r="A297" s="6" t="s">
        <v>1852</v>
      </c>
      <c r="B297" s="7" t="s">
        <v>1853</v>
      </c>
    </row>
    <row r="298" spans="1:2">
      <c r="A298" s="6" t="s">
        <v>1854</v>
      </c>
      <c r="B298" s="6" t="s">
        <v>1855</v>
      </c>
    </row>
    <row r="299" spans="1:2">
      <c r="A299" s="6" t="s">
        <v>202</v>
      </c>
      <c r="B299" s="7" t="s">
        <v>1856</v>
      </c>
    </row>
    <row r="300" spans="1:2">
      <c r="A300" s="6" t="s">
        <v>1857</v>
      </c>
      <c r="B300" s="7" t="s">
        <v>1858</v>
      </c>
    </row>
    <row r="301" spans="1:2">
      <c r="A301" s="6" t="s">
        <v>376</v>
      </c>
      <c r="B301" s="7" t="s">
        <v>1859</v>
      </c>
    </row>
    <row r="302" spans="1:2">
      <c r="A302" s="6" t="s">
        <v>1860</v>
      </c>
      <c r="B302" s="7" t="s">
        <v>1861</v>
      </c>
    </row>
    <row r="303" spans="1:2">
      <c r="A303" s="6" t="s">
        <v>1862</v>
      </c>
      <c r="B303" s="7" t="s">
        <v>1863</v>
      </c>
    </row>
    <row r="304" spans="1:2">
      <c r="A304" s="6" t="s">
        <v>1864</v>
      </c>
      <c r="B304" s="7" t="s">
        <v>1865</v>
      </c>
    </row>
    <row r="305" spans="1:2">
      <c r="A305" s="6" t="s">
        <v>1866</v>
      </c>
      <c r="B305" s="7" t="s">
        <v>1867</v>
      </c>
    </row>
    <row r="306" spans="1:2">
      <c r="A306" s="6" t="s">
        <v>1868</v>
      </c>
      <c r="B306" s="7"/>
    </row>
    <row r="307" spans="1:2">
      <c r="A307" s="6" t="s">
        <v>1869</v>
      </c>
      <c r="B307" s="7" t="s">
        <v>1870</v>
      </c>
    </row>
    <row r="308" spans="1:2">
      <c r="A308" s="6" t="s">
        <v>1871</v>
      </c>
      <c r="B308" s="7" t="s">
        <v>1872</v>
      </c>
    </row>
    <row r="309" spans="1:2">
      <c r="A309" s="9" t="s">
        <v>1873</v>
      </c>
      <c r="B309" s="7" t="s">
        <v>1874</v>
      </c>
    </row>
    <row r="310" spans="1:2">
      <c r="A310" s="6" t="s">
        <v>1875</v>
      </c>
      <c r="B310" s="7" t="s">
        <v>1876</v>
      </c>
    </row>
    <row r="311" spans="1:2">
      <c r="A311" s="6" t="s">
        <v>1877</v>
      </c>
      <c r="B311" s="7" t="s">
        <v>1878</v>
      </c>
    </row>
    <row r="312" spans="1:2">
      <c r="A312" s="6" t="s">
        <v>1879</v>
      </c>
      <c r="B312" s="7" t="s">
        <v>1880</v>
      </c>
    </row>
    <row r="313" spans="1:2">
      <c r="A313" s="6" t="s">
        <v>1881</v>
      </c>
      <c r="B313" s="7" t="s">
        <v>1882</v>
      </c>
    </row>
    <row r="314" spans="1:2">
      <c r="A314" s="6" t="s">
        <v>1883</v>
      </c>
      <c r="B314" s="7" t="s">
        <v>1884</v>
      </c>
    </row>
    <row r="315" spans="1:2">
      <c r="A315" s="6" t="s">
        <v>1885</v>
      </c>
      <c r="B315" s="7" t="s">
        <v>1886</v>
      </c>
    </row>
    <row r="316" spans="1:2">
      <c r="A316" s="6" t="s">
        <v>1887</v>
      </c>
      <c r="B316" s="7" t="s">
        <v>1888</v>
      </c>
    </row>
    <row r="317" spans="1:2">
      <c r="A317" s="6" t="s">
        <v>1889</v>
      </c>
      <c r="B317" s="7" t="s">
        <v>1890</v>
      </c>
    </row>
    <row r="318" spans="1:2">
      <c r="A318" s="6" t="s">
        <v>1889</v>
      </c>
      <c r="B318" s="7" t="s">
        <v>1890</v>
      </c>
    </row>
    <row r="319" spans="1:2">
      <c r="A319" s="6" t="s">
        <v>168</v>
      </c>
      <c r="B319" s="7" t="s">
        <v>1891</v>
      </c>
    </row>
    <row r="320" spans="1:2">
      <c r="A320" s="6" t="s">
        <v>1892</v>
      </c>
      <c r="B320" s="7" t="s">
        <v>1893</v>
      </c>
    </row>
    <row r="321" spans="1:2">
      <c r="A321" s="6" t="s">
        <v>1894</v>
      </c>
      <c r="B321" s="7" t="s">
        <v>1895</v>
      </c>
    </row>
    <row r="322" spans="1:2">
      <c r="A322" s="6" t="s">
        <v>517</v>
      </c>
      <c r="B322" s="7" t="s">
        <v>1896</v>
      </c>
    </row>
    <row r="323" spans="1:2">
      <c r="A323" s="6" t="s">
        <v>856</v>
      </c>
      <c r="B323" s="7" t="s">
        <v>1897</v>
      </c>
    </row>
  </sheetData>
  <phoneticPr fontId="2" type="noConversion"/>
  <conditionalFormatting sqref="B8">
    <cfRule type="duplicateValues" dxfId="7" priority="6"/>
    <cfRule type="duplicateValues" dxfId="6" priority="7"/>
  </conditionalFormatting>
  <conditionalFormatting sqref="B9">
    <cfRule type="duplicateValues" dxfId="5" priority="1"/>
    <cfRule type="duplicateValues" dxfId="4" priority="2"/>
  </conditionalFormatting>
  <conditionalFormatting sqref="B39">
    <cfRule type="duplicateValues" dxfId="3" priority="4"/>
    <cfRule type="duplicateValues" dxfId="2" priority="5"/>
  </conditionalFormatting>
  <conditionalFormatting sqref="B221:B222">
    <cfRule type="duplicateValues" dxfId="1" priority="8"/>
  </conditionalFormatting>
  <conditionalFormatting sqref="B223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List</vt:lpstr>
      <vt:lpstr>DB1</vt:lpstr>
      <vt:lpstr>DB2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</dc:creator>
  <cp:lastModifiedBy>Kwanghun Choi</cp:lastModifiedBy>
  <dcterms:created xsi:type="dcterms:W3CDTF">2025-12-03T08:38:45Z</dcterms:created>
  <dcterms:modified xsi:type="dcterms:W3CDTF">2025-12-09T09:15:38Z</dcterms:modified>
</cp:coreProperties>
</file>