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List" sheetId="1" r:id="rId1"/>
    <sheet name="DB1" sheetId="2" r:id="rId2"/>
    <sheet name="DB2" sheetId="3" r:id="rId3"/>
  </sheets>
  <definedNames>
    <definedName name="_xlnm._FilterDatabase" localSheetId="1" hidden="1">'DB1'!A1:S365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#,###"/>
    <numFmt numFmtId="177" formatCode="[$-412]yyyy\-mm\-dd"/>
    <numFmt numFmtId="178" formatCode="dd/mmm/yyyy"/>
    <numFmt numFmtId="179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8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>KEI RESEARCH PROJECTS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Type</v>
      </c>
      <c r="C4" t="str">
        <v>Title</v>
      </c>
      <c r="D4" t="str">
        <v>PI</v>
      </c>
      <c r="E4" t="str">
        <v>Primary Focus</v>
      </c>
      <c r="F4" t="str">
        <v>Secondary Focus</v>
      </c>
      <c r="G4" t="str">
        <v>Project Start</v>
      </c>
      <c r="H4" t="str">
        <v>Project End</v>
      </c>
      <c r="I4" t="str">
        <v>Thumbnail</v>
      </c>
      <c r="J4" t="str">
        <v>PDF</v>
      </c>
      <c r="K4" t="str">
        <v>Link</v>
      </c>
    </row>
    <row r="5">
      <c r="A5" t="str">
        <v>2023-066</v>
      </c>
      <c r="B5" t="str">
        <v xml:space="preserve">Commissioned Research </v>
      </c>
      <c r="C5" t="str">
        <v>Supporting Danyang’s Bid for UNESCO Global Geopark Status</v>
      </c>
      <c r="D5" t="str">
        <v>Lee, Soojae</v>
      </c>
      <c r="E5" t="str">
        <v>Ecology</v>
      </c>
      <c r="F5" t="str">
        <v>Land and Urban Environment</v>
      </c>
      <c r="G5" s="1" t="d">
        <v>2023-05-07T23:59:08.000Z</v>
      </c>
      <c r="H5" s="1" t="d">
        <v>2025-02-24T23:59:08.000Z</v>
      </c>
      <c r="I5" t="str">
        <v/>
      </c>
      <c r="J5" t="str">
        <v/>
      </c>
      <c r="K5" t="str">
        <v/>
      </c>
    </row>
    <row r="6">
      <c r="A6" t="str">
        <v>2023-067</v>
      </c>
      <c r="B6" t="str">
        <v xml:space="preserve">Commissioned Research </v>
      </c>
      <c r="C6" t="str">
        <v>Supporting Baengnyeong–Daecheong’s Bid for UNESCO Global Geopark Status</v>
      </c>
      <c r="D6" t="str">
        <v>Lee, Soojae</v>
      </c>
      <c r="E6" t="str">
        <v>Ecology</v>
      </c>
      <c r="F6" t="str">
        <v>Land and Urban Environment</v>
      </c>
      <c r="G6" s="1" t="d">
        <v>2023-05-09T23:59:08.000Z</v>
      </c>
      <c r="H6" s="1" t="d">
        <v>2026-09-09T23:59:08.000Z</v>
      </c>
      <c r="I6" t="str">
        <v/>
      </c>
      <c r="J6" t="str">
        <v/>
      </c>
      <c r="K6" t="str">
        <v/>
      </c>
    </row>
    <row r="7">
      <c r="A7" t="str">
        <v>2023-111</v>
      </c>
      <c r="B7" t="str">
        <v xml:space="preserve">Commissioned Research </v>
      </c>
      <c r="C7" t="str">
        <v>Enhancing Community Acceptance of Offshore Wind Power and Strengthening Stakeholder Capacity in Gunsan</v>
      </c>
      <c r="D7" t="str">
        <v>Cho, Kongjang</v>
      </c>
      <c r="E7" t="str">
        <v>Socio-Environmental Interface</v>
      </c>
      <c r="F7" t="str">
        <v>Carbon Neutrality and Energy</v>
      </c>
      <c r="G7" s="1" t="d">
        <v>2023-12-26T23:59:08.000Z</v>
      </c>
      <c r="H7" s="1" t="d">
        <v>2025-10-30T23:59:08.000Z</v>
      </c>
      <c r="I7" t="str">
        <v/>
      </c>
      <c r="J7" t="str">
        <v/>
      </c>
      <c r="K7" t="str">
        <v/>
      </c>
    </row>
    <row r="8">
      <c r="A8" t="str">
        <v>2024-020</v>
      </c>
      <c r="B8" t="str">
        <v xml:space="preserve">Commissioned Research </v>
      </c>
      <c r="C8" t="str">
        <v>A Study on Science-Based Approaches to Full-Cycle Management of Environmental Restoration</v>
      </c>
      <c r="D8" t="str">
        <v>Son, Seungwoo</v>
      </c>
      <c r="E8" t="str">
        <v>Land and Urban Environment</v>
      </c>
      <c r="F8" t="str">
        <v>Ecology</v>
      </c>
      <c r="G8" s="1" t="d">
        <v>2024-01-17T23:59:08.000Z</v>
      </c>
      <c r="H8" s="1" t="d">
        <v>2025-01-15T23:59:08.000Z</v>
      </c>
      <c r="I8" t="str">
        <v/>
      </c>
      <c r="J8" t="str">
        <v/>
      </c>
      <c r="K8" t="str">
        <v/>
      </c>
    </row>
    <row r="9">
      <c r="A9" t="str">
        <v>2024-040</v>
      </c>
      <c r="B9" t="str">
        <v xml:space="preserve">Commissioned Research </v>
      </c>
      <c r="C9" t="str">
        <v>Philippine Climate Resilience Cities Project (KOICA)</v>
      </c>
      <c r="D9" t="str">
        <v>Cho, Hanna</v>
      </c>
      <c r="E9" t="str">
        <v>Climate Adaptation</v>
      </c>
      <c r="F9" t="str">
        <v>International Environmental Collaboration</v>
      </c>
      <c r="G9" s="1" t="d">
        <v>2024-02-26T23:59:08.000Z</v>
      </c>
      <c r="H9" s="1" t="d">
        <v>2026-12-30T23:59:08.000Z</v>
      </c>
      <c r="I9" t="str">
        <v/>
      </c>
      <c r="J9" t="str">
        <v/>
      </c>
      <c r="K9" t="str">
        <v/>
      </c>
    </row>
    <row r="10">
      <c r="A10" t="str">
        <v>2024-036(R)</v>
      </c>
      <c r="B10" t="str">
        <v xml:space="preserve">Commissioned Research </v>
      </c>
      <c r="C10" t="str">
        <v>Resilience Assessment of Biodiversity Using Big Data and Intelligent Technology (RABBIT) (Year 4)</v>
      </c>
      <c r="D10" t="str">
        <v>Choi, Yuyoung</v>
      </c>
      <c r="E10" t="str">
        <v>AI and Environmental Informatics</v>
      </c>
      <c r="F10" t="str">
        <v>Ecology</v>
      </c>
      <c r="G10" s="1" t="d">
        <v>2024-02-29T23:59:08.000Z</v>
      </c>
      <c r="H10" s="1" t="d">
        <v>2025-02-27T23:59:08.000Z</v>
      </c>
      <c r="I10" t="str">
        <v/>
      </c>
      <c r="J10" t="str">
        <v/>
      </c>
      <c r="K10" t="str">
        <v/>
      </c>
    </row>
    <row r="11">
      <c r="A11" t="str">
        <v>2024-039(R)</v>
      </c>
      <c r="B11" t="str">
        <v xml:space="preserve">Commissioned Research </v>
      </c>
      <c r="C11" t="str">
        <v>Study on Developing a System for Flood Risk Evaluation and Expected Annual Damage based on Flood Damage Types (Year 2)</v>
      </c>
      <c r="D11" t="str">
        <v xml:space="preserve">Jung, Kichul </v>
      </c>
      <c r="E11" t="str">
        <v>Water Management</v>
      </c>
      <c r="F11" t="str">
        <v>Environmental Economics</v>
      </c>
      <c r="G11" s="1" t="d">
        <v>2024-02-29T23:59:08.000Z</v>
      </c>
      <c r="H11" s="1" t="d">
        <v>2025-02-27T23:59:08.000Z</v>
      </c>
      <c r="I11" t="str">
        <v/>
      </c>
      <c r="J11" t="str">
        <v/>
      </c>
      <c r="K11" t="str">
        <v/>
      </c>
    </row>
    <row r="12">
      <c r="A12" t="str">
        <v>2024-043</v>
      </c>
      <c r="B12" t="str">
        <v xml:space="preserve">Commissioned Research </v>
      </c>
      <c r="C12" t="str">
        <v>Developing a National List of Candidate Sites for Ecological Restoration (Year 2)</v>
      </c>
      <c r="D12" t="str">
        <v>Son, Seungwoo</v>
      </c>
      <c r="E12" t="str">
        <v>Land and Urban Environment</v>
      </c>
      <c r="F12" t="str">
        <v>Ecology</v>
      </c>
      <c r="G12" s="1" t="d">
        <v>2024-03-19T23:59:08.000Z</v>
      </c>
      <c r="H12" s="1" t="d">
        <v>2025-03-18T23:59:08.000Z</v>
      </c>
      <c r="I12" t="str">
        <v/>
      </c>
      <c r="J12" t="str">
        <v/>
      </c>
      <c r="K12" t="str">
        <v/>
      </c>
    </row>
    <row r="13">
      <c r="A13" t="str">
        <v>2024-045</v>
      </c>
      <c r="B13" t="str">
        <v xml:space="preserve">Commissioned Research </v>
      </c>
      <c r="C13" t="str">
        <v>Building an AI-Based Training Dataset for Automatic Wetland Boundary Classification</v>
      </c>
      <c r="D13" t="str">
        <v>Lee, MoungJin</v>
      </c>
      <c r="E13" t="str">
        <v>AI and Environmental Informatics</v>
      </c>
      <c r="F13" t="str">
        <v>Land and Urban Environment</v>
      </c>
      <c r="G13" s="1" t="d">
        <v>2024-03-20T23:59:08.000Z</v>
      </c>
      <c r="H13" s="1" t="d">
        <v>2025-01-13T23:59:08.000Z</v>
      </c>
      <c r="I13" t="str">
        <v/>
      </c>
      <c r="J13" t="str">
        <v/>
      </c>
      <c r="K13" t="str">
        <v/>
      </c>
    </row>
    <row r="14">
      <c r="A14" t="str">
        <v>2024-048</v>
      </c>
      <c r="B14" t="str">
        <v xml:space="preserve">Commissioned Research </v>
      </c>
      <c r="C14" t="str">
        <v>Developing Methodologies for Environmental Assessment of Renewable Energy</v>
      </c>
      <c r="D14" t="str">
        <v>Kim, Taeyun</v>
      </c>
      <c r="E14" t="str">
        <v>Environmental Assessment</v>
      </c>
      <c r="F14" t="str">
        <v>Carbon Neutrality and Energy</v>
      </c>
      <c r="G14" s="1" t="d">
        <v>2024-03-28T23:59:08.000Z</v>
      </c>
      <c r="H14" s="1" t="d">
        <v>2025-01-21T23:59:08.000Z</v>
      </c>
      <c r="I14" t="str">
        <v/>
      </c>
      <c r="J14" t="str">
        <v/>
      </c>
      <c r="K14" t="str">
        <v/>
      </c>
    </row>
    <row r="15">
      <c r="A15" t="str">
        <v>2024-056</v>
      </c>
      <c r="B15" t="str">
        <v xml:space="preserve">Commissioned Research </v>
      </c>
      <c r="C15" t="str">
        <v>Analysis of Disease Incidence Using Linked Big Data on National Health Screening Records and Air Pollution Exposure, and Public Release of Research Dataset</v>
      </c>
      <c r="D15" t="str">
        <v>Kang, Sungwon</v>
      </c>
      <c r="E15" t="str">
        <v>Environmental Health</v>
      </c>
      <c r="F15" t="str">
        <v>Atmospheric Environment</v>
      </c>
      <c r="G15" s="1" t="d">
        <v>2024-03-31T23:59:08.000Z</v>
      </c>
      <c r="H15" s="1" t="d">
        <v>2025-04-29T23:59:08.000Z</v>
      </c>
      <c r="I15" t="str">
        <v/>
      </c>
      <c r="J15" t="str">
        <v/>
      </c>
      <c r="K15" t="str">
        <v/>
      </c>
    </row>
    <row r="16">
      <c r="A16" t="str">
        <v>RR2024-02</v>
      </c>
      <c r="B16" t="str">
        <v>General Project</v>
      </c>
      <c r="C16" t="str">
        <v>Thematic Collaborative Research on Addressing Global Climate Policies</v>
      </c>
      <c r="D16" t="str">
        <v>Chang, Hoon</v>
      </c>
      <c r="E16" t="str">
        <v>Climate Adaptation</v>
      </c>
      <c r="F16" t="str">
        <v/>
      </c>
      <c r="G16" s="1" t="d">
        <v>2024-03-31T23:59:08.000Z</v>
      </c>
      <c r="H16" s="1" t="d">
        <v>2025-05-30T23:59:08.000Z</v>
      </c>
      <c r="I16" t="str">
        <v/>
      </c>
      <c r="J16" t="str">
        <v/>
      </c>
      <c r="K16" t="str">
        <v/>
      </c>
    </row>
    <row r="17">
      <c r="A17" t="str">
        <v>RR2024-03</v>
      </c>
      <c r="B17" t="str">
        <v>General Project</v>
      </c>
      <c r="C17" t="str">
        <v>Strategic Development and Functional Improvement of Digital Environmental Assessment Support Tools</v>
      </c>
      <c r="D17" t="str">
        <v>Kim, Yumi</v>
      </c>
      <c r="E17" t="str">
        <v>AI and Environmental Informatics</v>
      </c>
      <c r="F17" t="str">
        <v>Environmental Assessment</v>
      </c>
      <c r="G17" s="1" t="d">
        <v>2024-03-31T23:59:08.000Z</v>
      </c>
      <c r="H17" s="1" t="d">
        <v>2025-03-30T23:59:08.000Z</v>
      </c>
      <c r="I17" t="str">
        <v/>
      </c>
      <c r="J17" t="str">
        <v/>
      </c>
      <c r="K17" t="str">
        <v/>
      </c>
    </row>
    <row r="18">
      <c r="A18" t="str">
        <v>RR2024-04</v>
      </c>
      <c r="B18" t="str">
        <v>General Project</v>
      </c>
      <c r="C18" t="str">
        <v>Study on the Designation and Institutional Development for K-Carbon Neutral Cities</v>
      </c>
      <c r="D18" t="str">
        <v>Park, Chang Sug</v>
      </c>
      <c r="E18" t="str">
        <v>Carbon Neutrality and Energy</v>
      </c>
      <c r="F18" t="str">
        <v>Land and Urban Environment</v>
      </c>
      <c r="G18" s="1" t="d">
        <v>2024-03-31T23:59:08.000Z</v>
      </c>
      <c r="H18" s="1" t="d">
        <v>2025-03-30T23:59:08.000Z</v>
      </c>
      <c r="I18" t="str">
        <v/>
      </c>
      <c r="J18" t="str">
        <v/>
      </c>
      <c r="K18" t="str">
        <v/>
      </c>
    </row>
    <row r="19">
      <c r="A19" t="str">
        <v>2024-032</v>
      </c>
      <c r="B19" t="str">
        <v xml:space="preserve">Commissioned Research </v>
      </c>
      <c r="C19" t="str">
        <v>Evaluating the Effectiveness of African Swine Fever (ASF) Control Fencing and Strategies for Improved Management</v>
      </c>
      <c r="D19" t="str">
        <v xml:space="preserve">Koo, Kyung Ah </v>
      </c>
      <c r="E19" t="str">
        <v>Environmental Health</v>
      </c>
      <c r="F19" t="str">
        <v>Ecology</v>
      </c>
      <c r="G19" s="1" t="d">
        <v>2024-04-07T23:59:08.000Z</v>
      </c>
      <c r="H19" s="1" t="d">
        <v>2025-06-06T23:59:08.000Z</v>
      </c>
      <c r="I19" t="str">
        <v/>
      </c>
      <c r="J19" t="str">
        <v/>
      </c>
      <c r="K19" t="str">
        <v/>
      </c>
    </row>
    <row r="20">
      <c r="A20" t="str">
        <v>2024-053</v>
      </c>
      <c r="B20" t="str">
        <v xml:space="preserve">Commissioned Research </v>
      </c>
      <c r="C20" t="str">
        <v>Promoting International Cooperation in the Water Sector (I)</v>
      </c>
      <c r="D20" t="str">
        <v>Kim, Ikjae</v>
      </c>
      <c r="E20" t="str">
        <v>Water Management</v>
      </c>
      <c r="F20" t="str">
        <v>International Environmental Collaboration</v>
      </c>
      <c r="G20" s="1" t="d">
        <v>2024-04-16T23:59:08.000Z</v>
      </c>
      <c r="H20" s="1" t="d">
        <v>2025-02-09T23:59:08.000Z</v>
      </c>
      <c r="I20" t="str">
        <v/>
      </c>
      <c r="J20" t="str">
        <v/>
      </c>
      <c r="K20" t="str">
        <v/>
      </c>
    </row>
    <row r="21">
      <c r="A21" t="str">
        <v>2024-054</v>
      </c>
      <c r="B21" t="str">
        <v xml:space="preserve">Commissioned Research </v>
      </c>
      <c r="C21" t="str">
        <v>Compilation of 2024 Environmental Tax and Revenue Account Statistics</v>
      </c>
      <c r="D21" t="str">
        <v>Kang, Sungwon</v>
      </c>
      <c r="E21" t="str">
        <v>Environmental Economics</v>
      </c>
      <c r="F21" t="str">
        <v/>
      </c>
      <c r="G21" s="1" t="d">
        <v>2024-04-17T23:59:08.000Z</v>
      </c>
      <c r="H21" s="1" t="d">
        <v>2025-01-11T23:59:08.000Z</v>
      </c>
      <c r="I21" t="str">
        <v/>
      </c>
      <c r="J21" t="str">
        <v/>
      </c>
      <c r="K21" t="str">
        <v/>
      </c>
    </row>
    <row r="22">
      <c r="A22" t="str">
        <v>2024-055</v>
      </c>
      <c r="B22" t="str">
        <v xml:space="preserve">Commissioned Research </v>
      </c>
      <c r="C22" t="str">
        <v>Developing Response Strategies for Framework Plan and Feasibility Assessment in Environmental Restoration of Wanggung-ri, Iksan</v>
      </c>
      <c r="D22" t="str">
        <v>Son, Seungwoo</v>
      </c>
      <c r="E22" t="str">
        <v>Land and Urban Environment</v>
      </c>
      <c r="F22" t="str">
        <v>Ecology</v>
      </c>
      <c r="G22" s="1" t="d">
        <v>2024-04-25T23:59:08.000Z</v>
      </c>
      <c r="H22" s="1" t="d">
        <v>2025-04-24T23:59:08.000Z</v>
      </c>
      <c r="I22" t="str">
        <v/>
      </c>
      <c r="J22" t="str">
        <v/>
      </c>
      <c r="K22" t="str">
        <v/>
      </c>
    </row>
    <row r="23">
      <c r="A23" t="str">
        <v>2024-061</v>
      </c>
      <c r="B23" t="str">
        <v xml:space="preserve">Commissioned Research </v>
      </c>
      <c r="C23" t="str">
        <v>Preparing Regulatory Revisions for Environmental International Development Cooperation Projects</v>
      </c>
      <c r="D23" t="str">
        <v>Myeong, Soojeong</v>
      </c>
      <c r="E23" t="str">
        <v>International Environmental Collaboration</v>
      </c>
      <c r="F23" t="str">
        <v/>
      </c>
      <c r="G23" s="1" t="d">
        <v>2024-04-30T23:59:08.000Z</v>
      </c>
      <c r="H23" s="1" t="d">
        <v>2025-02-25T23:59:08.000Z</v>
      </c>
      <c r="I23" t="str">
        <v/>
      </c>
      <c r="J23" t="str">
        <v/>
      </c>
      <c r="K23" t="str">
        <v/>
      </c>
    </row>
    <row r="24">
      <c r="A24" t="str">
        <v>RR2024-01</v>
      </c>
      <c r="B24" t="str">
        <v>General Project</v>
      </c>
      <c r="C24" t="str">
        <v>Establishment of an Estuary and Coastal Integrated Environmental Information System to Respond to the Climate Crisis (II)</v>
      </c>
      <c r="D24" t="str">
        <v>Park, Chang Sug</v>
      </c>
      <c r="E24" t="str">
        <v>AI and Environmental Informatics</v>
      </c>
      <c r="F24" t="str">
        <v>Marine Environment</v>
      </c>
      <c r="G24" s="1" t="d">
        <v>2024-04-30T23:59:08.000Z</v>
      </c>
      <c r="H24" s="1" t="d">
        <v>2025-04-29T23:59:08.000Z</v>
      </c>
      <c r="I24" t="str">
        <v/>
      </c>
      <c r="J24" t="str">
        <v/>
      </c>
      <c r="K24" t="str">
        <v/>
      </c>
    </row>
    <row r="25">
      <c r="A25" t="str">
        <v>RR2024-07</v>
      </c>
      <c r="B25" t="str">
        <v>General Project</v>
      </c>
      <c r="C25" t="str">
        <v>A Study of Renewable Energy in South Korea, Japan, and China</v>
      </c>
      <c r="D25" t="str">
        <v>Suh, Yang-won</v>
      </c>
      <c r="E25" t="str">
        <v>Carbon Neutrality and Energy</v>
      </c>
      <c r="F25" t="str">
        <v>Sustainable Development</v>
      </c>
      <c r="G25" s="1" t="d">
        <v>2024-04-30T23:59:08.000Z</v>
      </c>
      <c r="H25" s="1" t="d">
        <v>2025-04-29T23:59:08.000Z</v>
      </c>
      <c r="I25" t="str">
        <v/>
      </c>
      <c r="J25" t="str">
        <v/>
      </c>
      <c r="K25" t="str">
        <v/>
      </c>
    </row>
    <row r="26">
      <c r="A26" t="str">
        <v>RR2024-08</v>
      </c>
      <c r="B26" t="str">
        <v>General Project</v>
      </c>
      <c r="C26" t="str">
        <v>Strategic Responses to Water Risks from Extreme Floods and Droughts: Focusing on the Han River Basin</v>
      </c>
      <c r="D26" t="str">
        <v>Kang, Hyeongsik</v>
      </c>
      <c r="E26" t="str">
        <v>Water Management</v>
      </c>
      <c r="F26" t="str">
        <v>Climate Adaptation</v>
      </c>
      <c r="G26" s="1" t="d">
        <v>2024-04-30T23:59:08.000Z</v>
      </c>
      <c r="H26" s="1" t="d">
        <v>2025-04-29T23:59:08.000Z</v>
      </c>
      <c r="I26" t="str">
        <v/>
      </c>
      <c r="J26" t="str">
        <v/>
      </c>
      <c r="K26" t="str">
        <v/>
      </c>
    </row>
    <row r="27">
      <c r="A27" t="str">
        <v>RR2024-09</v>
      </c>
      <c r="B27" t="str">
        <v>General Project</v>
      </c>
      <c r="C27" t="str">
        <v>Study on Improving the Eco-Labeling System through Willingness-to-Pay Analysis</v>
      </c>
      <c r="D27" t="str">
        <v xml:space="preserve">Park, Juyoung </v>
      </c>
      <c r="E27" t="str">
        <v>Environmental Economics</v>
      </c>
      <c r="F27" t="str">
        <v>Circular Economy</v>
      </c>
      <c r="G27" s="1" t="d">
        <v>2024-04-30T23:59:08.000Z</v>
      </c>
      <c r="H27" s="1" t="d">
        <v>2025-04-29T23:59:08.000Z</v>
      </c>
      <c r="I27" t="str">
        <v/>
      </c>
      <c r="J27" t="str">
        <v/>
      </c>
      <c r="K27" t="str">
        <v/>
      </c>
    </row>
    <row r="28">
      <c r="A28" t="str">
        <v>RR2024-10</v>
      </c>
      <c r="B28" t="str">
        <v>General Project</v>
      </c>
      <c r="C28" t="str">
        <v>Transitioning the Air Quality Management System to Simultaneously Promote Carbon Neutrality  and Air Pollution Reduction</v>
      </c>
      <c r="D28" t="str">
        <v>Choi, Ki-Chul and Lee, Seungmin</v>
      </c>
      <c r="E28" t="str">
        <v>Atmospheric Environment</v>
      </c>
      <c r="F28" t="str">
        <v>Carbon Neutrality and Energy</v>
      </c>
      <c r="G28" s="1" t="d">
        <v>2024-04-30T23:59:08.000Z</v>
      </c>
      <c r="H28" s="1" t="d">
        <v>2025-04-29T23:59:08.000Z</v>
      </c>
      <c r="I28" t="str">
        <v/>
      </c>
      <c r="J28" t="str">
        <v/>
      </c>
      <c r="K28" t="str">
        <v/>
      </c>
    </row>
    <row r="29">
      <c r="A29" t="str">
        <v>RR2024-11</v>
      </c>
      <c r="B29" t="str">
        <v>General Project</v>
      </c>
      <c r="C29" t="str">
        <v>Environmental Assessment Strategies for River Projects in Response to the Climate Crisis</v>
      </c>
      <c r="D29" t="str">
        <v>Lee, Jinhee</v>
      </c>
      <c r="E29" t="str">
        <v>Environmental Assessment</v>
      </c>
      <c r="F29" t="str">
        <v>Water Management</v>
      </c>
      <c r="G29" s="1" t="d">
        <v>2024-04-30T23:59:08.000Z</v>
      </c>
      <c r="H29" s="1" t="d">
        <v>2025-04-29T23:59:08.000Z</v>
      </c>
      <c r="I29" t="str">
        <v/>
      </c>
      <c r="J29" t="str">
        <v/>
      </c>
      <c r="K29" t="str">
        <v/>
      </c>
    </row>
    <row r="30">
      <c r="A30" t="str">
        <v>RR2024-14</v>
      </c>
      <c r="B30" t="str">
        <v>General Project</v>
      </c>
      <c r="C30" t="str">
        <v>International Comparison of Renewable Energy and Grid Integration Planning Schemes</v>
      </c>
      <c r="D30" t="str">
        <v>Lee, Jae-hyuck</v>
      </c>
      <c r="E30" t="str">
        <v>Carbon Neutrality and Energy</v>
      </c>
      <c r="F30" t="str">
        <v>International Environmental Collaboration</v>
      </c>
      <c r="G30" s="1" t="d">
        <v>2024-04-30T23:59:08.000Z</v>
      </c>
      <c r="H30" s="1" t="d">
        <v>2025-04-29T23:59:08.000Z</v>
      </c>
      <c r="I30" t="str">
        <v/>
      </c>
      <c r="J30" t="str">
        <v/>
      </c>
      <c r="K30" t="str">
        <v/>
      </c>
    </row>
    <row r="31">
      <c r="A31" t="str">
        <v>RR2024-15</v>
      </c>
      <c r="B31" t="str">
        <v>General Project</v>
      </c>
      <c r="C31" t="str">
        <v>Comparative Study on Urban Planning Elements and Policy Acceptability to Reduce Residents’ Carbon Footprint : Targeting Korea and Germany</v>
      </c>
      <c r="D31" t="str">
        <v xml:space="preserve">Kim, Taehyun </v>
      </c>
      <c r="E31" t="str">
        <v>Land and Urban Environment</v>
      </c>
      <c r="F31" t="str">
        <v>International Environmental Collaboration</v>
      </c>
      <c r="G31" s="1" t="d">
        <v>2024-04-30T23:59:08.000Z</v>
      </c>
      <c r="H31" s="1" t="d">
        <v>2025-04-29T23:59:08.000Z</v>
      </c>
      <c r="I31" t="str">
        <v/>
      </c>
      <c r="J31" t="str">
        <v/>
      </c>
      <c r="K31" t="str">
        <v/>
      </c>
    </row>
    <row r="32">
      <c r="A32" t="str">
        <v>RR2024-17</v>
      </c>
      <c r="B32" t="str">
        <v>General Project</v>
      </c>
      <c r="C32" t="str">
        <v>Development and Operation of an Environmental Policy Data Service Hub</v>
      </c>
      <c r="D32" t="str">
        <v>Jin, Daeyong</v>
      </c>
      <c r="E32" t="str">
        <v>AI and Environmental Informatics</v>
      </c>
      <c r="F32" t="str">
        <v/>
      </c>
      <c r="G32" s="1" t="d">
        <v>2024-04-30T23:59:08.000Z</v>
      </c>
      <c r="H32" s="1" t="d">
        <v>2025-04-29T23:59:08.000Z</v>
      </c>
      <c r="I32" t="str">
        <v/>
      </c>
      <c r="J32" t="str">
        <v/>
      </c>
      <c r="K32" t="str">
        <v/>
      </c>
    </row>
    <row r="33">
      <c r="A33" t="str">
        <v>RR2024-18</v>
      </c>
      <c r="B33" t="str">
        <v>General Project</v>
      </c>
      <c r="C33" t="str">
        <v>Development of a Global Environmental Knowledge Cooperation Platform</v>
      </c>
      <c r="D33" t="str">
        <v>Park, Jun Hyun</v>
      </c>
      <c r="E33" t="str">
        <v>International Environmental Collaboration</v>
      </c>
      <c r="F33" t="str">
        <v/>
      </c>
      <c r="G33" s="1" t="d">
        <v>2024-04-30T23:59:08.000Z</v>
      </c>
      <c r="H33" s="1" t="d">
        <v>2025-06-29T23:59:08.000Z</v>
      </c>
      <c r="I33" t="str">
        <v/>
      </c>
      <c r="J33" t="str">
        <v/>
      </c>
      <c r="K33" t="str">
        <v/>
      </c>
    </row>
    <row r="34">
      <c r="A34" t="str">
        <v>2024-062</v>
      </c>
      <c r="B34" t="str">
        <v xml:space="preserve">Commissioned Research </v>
      </c>
      <c r="C34" t="str">
        <v>Compilation of Environmental Protection Expenditure Accounts for 2023</v>
      </c>
      <c r="D34" t="str">
        <v>Kim, Jongho</v>
      </c>
      <c r="E34" t="str">
        <v>Environmental Economics</v>
      </c>
      <c r="F34" t="str">
        <v>AI and Environmental Informatics</v>
      </c>
      <c r="G34" s="1" t="d">
        <v>2024-05-02T23:59:08.000Z</v>
      </c>
      <c r="H34" s="1" t="d">
        <v>2025-03-30T23:59:08.000Z</v>
      </c>
      <c r="I34" t="str">
        <v/>
      </c>
      <c r="J34" t="str">
        <v/>
      </c>
      <c r="K34" t="str">
        <v/>
      </c>
    </row>
    <row r="35">
      <c r="A35" t="str">
        <v>2024-068</v>
      </c>
      <c r="B35" t="str">
        <v xml:space="preserve">Commissioned Research </v>
      </c>
      <c r="C35" t="str">
        <v>Developing a Comprehensive Database and Utilization Framework for Carbon Neutrality Technologies in the Energy Sector (Transition, Industry, Transport, and Buildings)</v>
      </c>
      <c r="D35" t="str">
        <v>Kim, Sungjin</v>
      </c>
      <c r="E35" t="str">
        <v>Carbon Neutrality and Energy</v>
      </c>
      <c r="F35" t="str">
        <v>AI and Environmental Informatics</v>
      </c>
      <c r="G35" s="1" t="d">
        <v>2024-05-28T23:59:08.000Z</v>
      </c>
      <c r="H35" s="1" t="d">
        <v>2025-03-21T23:59:08.000Z</v>
      </c>
      <c r="I35" t="str">
        <v/>
      </c>
      <c r="J35" t="str">
        <v/>
      </c>
      <c r="K35" t="str">
        <v/>
      </c>
    </row>
    <row r="36">
      <c r="A36" t="str">
        <v>2024-071</v>
      </c>
      <c r="B36" t="str">
        <v xml:space="preserve">Commissioned Research </v>
      </c>
      <c r="C36" t="str">
        <v>Developing Appropriate Treatment Methods for Public Wastewater Facilities Handling Industrial Wastewater from Secondary Battery Production</v>
      </c>
      <c r="D36" t="str">
        <v>Han, Daeho</v>
      </c>
      <c r="E36" t="str">
        <v>Water Management</v>
      </c>
      <c r="F36" t="str">
        <v>Circular Economy</v>
      </c>
      <c r="G36" s="1" t="d">
        <v>2024-06-02T23:59:08.000Z</v>
      </c>
      <c r="H36" s="1" t="d">
        <v>2025-02-27T23:59:08.000Z</v>
      </c>
      <c r="I36" t="str">
        <v/>
      </c>
      <c r="J36" t="str">
        <v/>
      </c>
      <c r="K36" t="str">
        <v/>
      </c>
    </row>
    <row r="37">
      <c r="A37" t="str">
        <v>2024-072</v>
      </c>
      <c r="B37" t="str">
        <v xml:space="preserve">Commissioned Research </v>
      </c>
      <c r="C37" t="str">
        <v>Developing Strategies to Improve Environmental Impact Assessments for Urban Development Projects</v>
      </c>
      <c r="D37" t="str">
        <v>Yi, Youngjae</v>
      </c>
      <c r="E37" t="str">
        <v>Environmental Assessment</v>
      </c>
      <c r="F37" t="str">
        <v>Land and Urban Environment</v>
      </c>
      <c r="G37" s="1" t="d">
        <v>2024-06-03T23:59:08.000Z</v>
      </c>
      <c r="H37" s="1" t="d">
        <v>2025-02-27T23:59:08.000Z</v>
      </c>
      <c r="I37" t="str">
        <v/>
      </c>
      <c r="J37" t="str">
        <v/>
      </c>
      <c r="K37" t="str">
        <v/>
      </c>
    </row>
    <row r="38">
      <c r="A38" t="str">
        <v>2024-074</v>
      </c>
      <c r="B38" t="str">
        <v xml:space="preserve">Commissioned Research </v>
      </c>
      <c r="C38" t="str">
        <v>Developing Strategies to Improve Industrial Wastewater Management</v>
      </c>
      <c r="D38" t="str">
        <v>Han, Daeho</v>
      </c>
      <c r="E38" t="str">
        <v>Water Management</v>
      </c>
      <c r="F38" t="str">
        <v/>
      </c>
      <c r="G38" s="1" t="d">
        <v>2024-06-12T23:59:08.000Z</v>
      </c>
      <c r="H38" s="1" t="d">
        <v>2025-05-29T23:59:08.000Z</v>
      </c>
      <c r="I38" t="str">
        <v/>
      </c>
      <c r="J38" t="str">
        <v/>
      </c>
      <c r="K38" t="str">
        <v/>
      </c>
    </row>
    <row r="39">
      <c r="A39" t="str">
        <v>2024-075</v>
      </c>
      <c r="B39" t="str">
        <v xml:space="preserve">Commissioned Research </v>
      </c>
      <c r="C39" t="str">
        <v>2024 Capacity-Building and Related Activities for the Green Chemistry Council</v>
      </c>
      <c r="D39" t="str">
        <v>Suh, Yang-won</v>
      </c>
      <c r="E39" t="str">
        <v>Environmental Health</v>
      </c>
      <c r="F39" t="str">
        <v>Climate Adaptation</v>
      </c>
      <c r="G39" s="1" t="d">
        <v>2024-06-12T23:59:08.000Z</v>
      </c>
      <c r="H39" s="1" t="d">
        <v>2025-03-30T23:59:08.000Z</v>
      </c>
      <c r="I39" t="str">
        <v/>
      </c>
      <c r="J39" t="str">
        <v/>
      </c>
      <c r="K39" t="str">
        <v/>
      </c>
    </row>
    <row r="40">
      <c r="A40" t="str">
        <v>2024-080</v>
      </c>
      <c r="B40" t="str">
        <v xml:space="preserve">Commissioned Research </v>
      </c>
      <c r="C40" t="str">
        <v xml:space="preserve">Research on Reforming the 2025 Subsidy Scheme for Electric Vehicles </v>
      </c>
      <c r="D40" t="str">
        <v>Lee, Jeongeun</v>
      </c>
      <c r="E40" t="str">
        <v>Carbon Neutrality and Energy</v>
      </c>
      <c r="F40" t="str">
        <v>Environmental Economics</v>
      </c>
      <c r="G40" s="1" t="d">
        <v>2024-07-14T23:59:08.000Z</v>
      </c>
      <c r="H40" s="1" t="d">
        <v>2025-03-13T23:59:08.000Z</v>
      </c>
      <c r="I40" t="str">
        <v/>
      </c>
      <c r="J40" t="str">
        <v/>
      </c>
      <c r="K40" t="str">
        <v/>
      </c>
    </row>
    <row r="41">
      <c r="A41" t="str">
        <v>2024-081</v>
      </c>
      <c r="B41" t="str">
        <v xml:space="preserve">Commissioned Research </v>
      </c>
      <c r="C41" t="str">
        <v>Advancing Environmental Policies for Enhanced Environmental Management</v>
      </c>
      <c r="D41" t="str">
        <v>Park, Chang Sug</v>
      </c>
      <c r="E41" t="str">
        <v>Land and Urban Environment</v>
      </c>
      <c r="F41" t="str">
        <v>Socio-Environmental Interface</v>
      </c>
      <c r="G41" s="1" t="d">
        <v>2024-07-14T23:59:08.000Z</v>
      </c>
      <c r="H41" s="1" t="d">
        <v>2025-03-30T23:59:08.000Z</v>
      </c>
      <c r="I41" t="str">
        <v/>
      </c>
      <c r="J41" t="str">
        <v/>
      </c>
      <c r="K41" t="str">
        <v/>
      </c>
    </row>
    <row r="42">
      <c r="A42" t="str">
        <v>2024-084</v>
      </c>
      <c r="B42" t="str">
        <v xml:space="preserve">Commissioned Research </v>
      </c>
      <c r="C42" t="str">
        <v>Developing a Master Plan for Conserving and Utilizing the Natural Value of Sorokdo</v>
      </c>
      <c r="D42" t="str">
        <v>Son, Seungwoo</v>
      </c>
      <c r="E42" t="str">
        <v>Land and Urban Environment</v>
      </c>
      <c r="F42" t="str">
        <v>Ecology</v>
      </c>
      <c r="G42" s="1" t="d">
        <v>2024-07-21T23:59:08.000Z</v>
      </c>
      <c r="H42" s="1" t="d">
        <v>2025-03-17T23:59:08.000Z</v>
      </c>
      <c r="I42" t="str">
        <v/>
      </c>
      <c r="J42" t="str">
        <v/>
      </c>
      <c r="K42" t="str">
        <v/>
      </c>
    </row>
    <row r="43">
      <c r="A43" t="str">
        <v>2024-086</v>
      </c>
      <c r="B43" t="str">
        <v xml:space="preserve">Commissioned Research </v>
      </c>
      <c r="C43" t="str">
        <v>Developing Technologies for Satellite-based Water Resource Management (II) (Phase 1)</v>
      </c>
      <c r="D43" t="str">
        <v>Lee, MoungJin</v>
      </c>
      <c r="E43" t="str">
        <v>Water Management</v>
      </c>
      <c r="F43" t="str">
        <v>AI and Environmental Informatics</v>
      </c>
      <c r="G43" s="1" t="d">
        <v>2024-07-24T23:59:08.000Z</v>
      </c>
      <c r="H43" s="1" t="d">
        <v>2025-01-14T23:59:08.000Z</v>
      </c>
      <c r="I43" t="str">
        <v/>
      </c>
      <c r="J43" t="str">
        <v/>
      </c>
      <c r="K43" t="str">
        <v/>
      </c>
    </row>
    <row r="44">
      <c r="A44" t="str">
        <v>2024-087</v>
      </c>
      <c r="B44" t="str">
        <v xml:space="preserve">Commissioned Research </v>
      </c>
      <c r="C44" t="str">
        <v>Developing Institutional and Policy Guidelines to Support Seawater Desalination (Year 2)</v>
      </c>
      <c r="D44" t="str">
        <v>Kang, Hyeongsik</v>
      </c>
      <c r="E44" t="str">
        <v>Water Management</v>
      </c>
      <c r="F44" t="str">
        <v>Marine Environment</v>
      </c>
      <c r="G44" s="1" t="d">
        <v>2024-07-25T23:59:08.000Z</v>
      </c>
      <c r="H44" s="1" t="d">
        <v>2025-01-20T23:59:08.000Z</v>
      </c>
      <c r="I44" t="str">
        <v/>
      </c>
      <c r="J44" t="str">
        <v/>
      </c>
      <c r="K44" t="str">
        <v/>
      </c>
    </row>
    <row r="45">
      <c r="A45" t="str">
        <v>2024-085</v>
      </c>
      <c r="B45" t="str">
        <v xml:space="preserve">Commissioned Research </v>
      </c>
      <c r="C45" t="str">
        <v>Developing National Genetic Diversity Indicators to Support Implementation of the Global Biodiversity Framework (Year 1)</v>
      </c>
      <c r="D45" t="str">
        <v xml:space="preserve">Koo, Kyung Ah </v>
      </c>
      <c r="E45" t="str">
        <v>Ecology</v>
      </c>
      <c r="F45" t="str">
        <v>International Environmental Collaboration</v>
      </c>
      <c r="G45" s="1" t="d">
        <v>2024-07-28T23:59:08.000Z</v>
      </c>
      <c r="H45" s="1" t="d">
        <v>2025-03-27T23:59:08.000Z</v>
      </c>
      <c r="I45" t="str">
        <v/>
      </c>
      <c r="J45" t="str">
        <v/>
      </c>
      <c r="K45" t="str">
        <v/>
      </c>
    </row>
    <row r="46">
      <c r="A46" t="str">
        <v>2024-088</v>
      </c>
      <c r="B46" t="str">
        <v xml:space="preserve">Commissioned Research </v>
      </c>
      <c r="C46" t="str">
        <v>Developing Environmental Strategies to Enhance Implementation of the SDGs</v>
      </c>
      <c r="D46" t="str">
        <v>Kim, Hyunno</v>
      </c>
      <c r="E46" t="str">
        <v>Environmental Economics</v>
      </c>
      <c r="F46" t="str">
        <v>Socio-Environmental Interface</v>
      </c>
      <c r="G46" s="1" t="d">
        <v>2024-08-04T23:59:08.000Z</v>
      </c>
      <c r="H46" s="1" t="d">
        <v>2025-08-03T23:59:08.000Z</v>
      </c>
      <c r="I46" t="str">
        <v/>
      </c>
      <c r="J46" t="str">
        <v/>
      </c>
      <c r="K46" t="str">
        <v/>
      </c>
    </row>
    <row r="47">
      <c r="A47" t="str">
        <v>2024-099(R)</v>
      </c>
      <c r="B47" t="str">
        <v xml:space="preserve">Commissioned Research </v>
      </c>
      <c r="C47" t="str">
        <v>Research on Convergent Approaches to Mitigate Secondary Microplastic Pollution (Year 5)</v>
      </c>
      <c r="D47" t="str">
        <v>Park, Jeonggue</v>
      </c>
      <c r="E47" t="str">
        <v>Environmental Health</v>
      </c>
      <c r="F47" t="str">
        <v>Marine Environment</v>
      </c>
      <c r="G47" s="1" t="d">
        <v>2024-08-09T23:59:08.000Z</v>
      </c>
      <c r="H47" s="1" t="d">
        <v>2025-08-08T23:59:08.000Z</v>
      </c>
      <c r="I47" t="str">
        <v/>
      </c>
      <c r="J47" t="str">
        <v/>
      </c>
      <c r="K47" t="str">
        <v/>
      </c>
    </row>
    <row r="48">
      <c r="A48" t="str">
        <v>2024-089</v>
      </c>
      <c r="B48" t="str">
        <v xml:space="preserve">Commissioned Research </v>
      </c>
      <c r="C48" t="str">
        <v>Trends in the Implementation of the CBD Kunming-Montreal Global Biodiversity Framework and the Development of Response Strategies (Phase 2)</v>
      </c>
      <c r="D48" t="str">
        <v xml:space="preserve">Koo, Kyung Ah </v>
      </c>
      <c r="E48" t="str">
        <v>Ecology</v>
      </c>
      <c r="F48" t="str">
        <v>International Environmental Collaboration</v>
      </c>
      <c r="G48" s="1" t="d">
        <v>2024-08-11T23:59:08.000Z</v>
      </c>
      <c r="H48" s="1" t="d">
        <v>2025-04-06T23:59:08.000Z</v>
      </c>
      <c r="I48" t="str">
        <v/>
      </c>
      <c r="J48" t="str">
        <v/>
      </c>
      <c r="K48" t="str">
        <v/>
      </c>
    </row>
    <row r="49">
      <c r="A49" t="str">
        <v>2024-090</v>
      </c>
      <c r="B49" t="str">
        <v xml:space="preserve">Commissioned Research </v>
      </c>
      <c r="C49" t="str">
        <v>Developing Strategies to Improve Emission Standard Management</v>
      </c>
      <c r="D49" t="str">
        <v>Gong, Sungyong</v>
      </c>
      <c r="E49" t="str">
        <v>Atmospheric Environment</v>
      </c>
      <c r="F49" t="str">
        <v/>
      </c>
      <c r="G49" s="1" t="d">
        <v>2024-08-22T23:59:08.000Z</v>
      </c>
      <c r="H49" s="1" t="d">
        <v>2025-01-21T23:59:08.000Z</v>
      </c>
      <c r="I49" t="str">
        <v/>
      </c>
      <c r="J49" t="str">
        <v/>
      </c>
      <c r="K49" t="str">
        <v/>
      </c>
    </row>
    <row r="50">
      <c r="A50" t="str">
        <v>2024-091</v>
      </c>
      <c r="B50" t="str">
        <v xml:space="preserve">Commissioned Research </v>
      </c>
      <c r="C50" t="str">
        <v>Feasibility Review and Preparation of Draft Amendments for the Second Water Reuse Master Plan</v>
      </c>
      <c r="D50" t="str">
        <v>Lee, Moonhwan</v>
      </c>
      <c r="E50" t="str">
        <v>Water Management</v>
      </c>
      <c r="F50" t="str">
        <v/>
      </c>
      <c r="G50" s="1" t="d">
        <v>2024-09-02T23:59:08.000Z</v>
      </c>
      <c r="H50" s="1" t="d">
        <v>2025-11-26T23:59:08.000Z</v>
      </c>
      <c r="I50" t="str">
        <v/>
      </c>
      <c r="J50" t="str">
        <v/>
      </c>
      <c r="K50" t="str">
        <v/>
      </c>
    </row>
    <row r="51">
      <c r="A51" t="str">
        <v>2024-093</v>
      </c>
      <c r="B51" t="str">
        <v xml:space="preserve">Commissioned Research </v>
      </c>
      <c r="C51" t="str">
        <v>Developing a Revision Plan for the 5th Comprehensive National Environmental Plan (2020–2040) (Phase 1)</v>
      </c>
      <c r="D51" t="str">
        <v>Park, Chang Sug</v>
      </c>
      <c r="E51" t="str">
        <v>Land and Urban Environment</v>
      </c>
      <c r="F51" t="str">
        <v/>
      </c>
      <c r="G51" s="1" t="d">
        <v>2024-09-19T23:59:08.000Z</v>
      </c>
      <c r="H51" s="1" t="d">
        <v>2025-03-17T23:59:08.000Z</v>
      </c>
      <c r="I51" t="str">
        <v/>
      </c>
      <c r="J51" t="str">
        <v/>
      </c>
      <c r="K51" t="str">
        <v/>
      </c>
    </row>
    <row r="52">
      <c r="A52" t="str">
        <v>2024-094</v>
      </c>
      <c r="B52" t="str">
        <v xml:space="preserve">Commissioned Research </v>
      </c>
      <c r="C52" t="str">
        <v>Implementing a Carbon Cap System in Development Projects for Carbon Neutrality</v>
      </c>
      <c r="D52" t="str">
        <v>Yoon, Jeongho and Son, Seungwoo</v>
      </c>
      <c r="E52" t="str">
        <v>Carbon Neutrality and Energy</v>
      </c>
      <c r="F52" t="str">
        <v>Environmental Economics</v>
      </c>
      <c r="G52" s="1" t="d">
        <v>2024-09-22T23:59:08.000Z</v>
      </c>
      <c r="H52" s="1" t="d">
        <v>2025-08-21T23:59:08.000Z</v>
      </c>
      <c r="I52" t="str">
        <v/>
      </c>
      <c r="J52" t="str">
        <v/>
      </c>
      <c r="K52" t="str">
        <v/>
      </c>
    </row>
    <row r="53">
      <c r="A53" t="str">
        <v>2024-096</v>
      </c>
      <c r="B53" t="str">
        <v xml:space="preserve">Commissioned Research </v>
      </c>
      <c r="C53" t="str">
        <v>Feasibility Review and Preparation of Draft Amendments for the First Master Plan for National Water Management (Phase 1)</v>
      </c>
      <c r="D53" t="str">
        <v>Han, Haejin</v>
      </c>
      <c r="E53" t="str">
        <v>Water Management</v>
      </c>
      <c r="F53" t="str">
        <v/>
      </c>
      <c r="G53" s="1" t="d">
        <v>2024-10-17T23:59:08.000Z</v>
      </c>
      <c r="H53" s="1" t="d">
        <v>2025-10-16T23:59:08.000Z</v>
      </c>
      <c r="I53" t="str">
        <v/>
      </c>
      <c r="J53" t="str">
        <v/>
      </c>
      <c r="K53" t="str">
        <v/>
      </c>
    </row>
    <row r="54">
      <c r="A54" t="str">
        <v>2024-097</v>
      </c>
      <c r="B54" t="str">
        <v xml:space="preserve">Commissioned Research </v>
      </c>
      <c r="C54" t="str">
        <v>Developing the Third Master Plan for National Water Environment Management</v>
      </c>
      <c r="D54" t="str">
        <v>Kim, Hojeong</v>
      </c>
      <c r="E54" t="str">
        <v>Water Management</v>
      </c>
      <c r="F54" t="str">
        <v>Ecology</v>
      </c>
      <c r="G54" s="1" t="d">
        <v>2024-10-21T23:59:08.000Z</v>
      </c>
      <c r="H54" s="1" t="d">
        <v>2025-12-16T23:59:08.000Z</v>
      </c>
      <c r="I54" t="str">
        <v/>
      </c>
      <c r="J54" t="str">
        <v/>
      </c>
      <c r="K54" t="str">
        <v/>
      </c>
    </row>
    <row r="55">
      <c r="A55" t="str">
        <v>2024-098</v>
      </c>
      <c r="B55" t="str">
        <v xml:space="preserve">Commissioned Research </v>
      </c>
      <c r="C55" t="str">
        <v>Strategic Roadmap for the Advancement of Indoor Environment Management Center</v>
      </c>
      <c r="D55" t="str">
        <v xml:space="preserve">Jung, Dawoon </v>
      </c>
      <c r="E55" t="str">
        <v>Environmental Health</v>
      </c>
      <c r="F55" t="str">
        <v/>
      </c>
      <c r="G55" s="1" t="d">
        <v>2024-10-24T23:59:08.000Z</v>
      </c>
      <c r="H55" s="1" t="d">
        <v>2025-03-22T23:59:08.000Z</v>
      </c>
      <c r="I55" t="str">
        <v/>
      </c>
      <c r="J55" t="str">
        <v/>
      </c>
      <c r="K55" t="str">
        <v/>
      </c>
    </row>
    <row r="56">
      <c r="A56" t="str">
        <v>WO2024-08</v>
      </c>
      <c r="B56" t="str">
        <v>Policy Study</v>
      </c>
      <c r="C56" t="str">
        <v>Establishing a Clothing Waste Recycling System in Korea</v>
      </c>
      <c r="D56" t="str">
        <v xml:space="preserve">Ju, Munsol </v>
      </c>
      <c r="E56" t="str">
        <v>Circular Economy</v>
      </c>
      <c r="F56" t="str">
        <v>Socio-Environmental Interface</v>
      </c>
      <c r="G56" s="1" t="d">
        <v>2024-10-31T23:59:08.000Z</v>
      </c>
      <c r="H56" s="1" t="d">
        <v>2025-04-29T23:59:08.000Z</v>
      </c>
      <c r="I56" t="str">
        <v/>
      </c>
      <c r="J56" t="str">
        <v/>
      </c>
      <c r="K56" t="str">
        <v/>
      </c>
    </row>
    <row r="57">
      <c r="A57" t="str">
        <v>WO2024-09</v>
      </c>
      <c r="B57" t="str">
        <v>Policy Study</v>
      </c>
      <c r="C57" t="str">
        <v>Strengthening Water Demand Management at the Usage Phase: Focusing on High Water-Consumption Facilities</v>
      </c>
      <c r="D57" t="str">
        <v xml:space="preserve">Oh, Myoungjin </v>
      </c>
      <c r="E57" t="str">
        <v>Water Management</v>
      </c>
      <c r="F57" t="str">
        <v/>
      </c>
      <c r="G57" s="1" t="d">
        <v>2024-10-31T23:59:08.000Z</v>
      </c>
      <c r="H57" s="1" t="d">
        <v>2025-04-29T23:59:08.000Z</v>
      </c>
      <c r="I57" t="str">
        <v/>
      </c>
      <c r="J57" t="str">
        <v/>
      </c>
      <c r="K57" t="str">
        <v/>
      </c>
    </row>
    <row r="58">
      <c r="A58" t="str">
        <v>2024-101</v>
      </c>
      <c r="B58" t="str">
        <v xml:space="preserve">Commissioned Research </v>
      </c>
      <c r="C58" t="str">
        <v>Comprehensive Environmental Health Assessment of Regions Around Coal-Fired Power Plants</v>
      </c>
      <c r="D58" t="str">
        <v>Bae, Hyun-Joo</v>
      </c>
      <c r="E58" t="str">
        <v>Environmental Health</v>
      </c>
      <c r="F58" t="str">
        <v>Atmospheric Environment</v>
      </c>
      <c r="G58" s="1" t="d">
        <v>2024-11-03T23:59:08.000Z</v>
      </c>
      <c r="H58" s="1" t="d">
        <v>2025-11-03T23:59:08.000Z</v>
      </c>
      <c r="I58" t="str">
        <v/>
      </c>
      <c r="J58" t="str">
        <v/>
      </c>
      <c r="K58" t="str">
        <v/>
      </c>
    </row>
    <row r="59">
      <c r="A59" t="str">
        <v>2024-100</v>
      </c>
      <c r="B59" t="str">
        <v xml:space="preserve">Commissioned Research </v>
      </c>
      <c r="C59" t="str">
        <v>Developing Strategies to Implement Zoning for Enhancing Ecosystem Services</v>
      </c>
      <c r="D59" t="str">
        <v>Choi, Hee-Sun</v>
      </c>
      <c r="E59" t="str">
        <v>Land and Urban Environment</v>
      </c>
      <c r="F59" t="str">
        <v>Ecology</v>
      </c>
      <c r="G59" s="1" t="d">
        <v>2024-11-04T23:59:08.000Z</v>
      </c>
      <c r="H59" s="1" t="d">
        <v>2025-08-28T23:59:08.000Z</v>
      </c>
      <c r="I59" t="str">
        <v/>
      </c>
      <c r="J59" t="str">
        <v/>
      </c>
      <c r="K59" t="str">
        <v/>
      </c>
    </row>
    <row r="60">
      <c r="A60" t="str">
        <v>2024-102</v>
      </c>
      <c r="B60" t="str">
        <v xml:space="preserve">Commissioned Research </v>
      </c>
      <c r="C60" t="str">
        <v>Developing a Tiered Environmental Impact Assessment System (Phase 1)</v>
      </c>
      <c r="D60" t="str">
        <v xml:space="preserve">Yang, Kyung </v>
      </c>
      <c r="E60" t="str">
        <v>Environmental Assessment</v>
      </c>
      <c r="F60" t="str">
        <v/>
      </c>
      <c r="G60" s="1" t="d">
        <v>2024-11-12T23:59:08.000Z</v>
      </c>
      <c r="H60" s="1" t="d">
        <v>2025-02-09T23:59:08.000Z</v>
      </c>
      <c r="I60" t="str">
        <v/>
      </c>
      <c r="J60" t="str">
        <v/>
      </c>
      <c r="K60" t="str">
        <v/>
      </c>
    </row>
    <row r="61">
      <c r="A61" t="str">
        <v>2024-103</v>
      </c>
      <c r="B61" t="str">
        <v xml:space="preserve">Commissioned Research </v>
      </c>
      <c r="C61" t="str">
        <v>A Study on the Regulatory Impact of Hazardous Chemical Substances</v>
      </c>
      <c r="D61" t="str">
        <v>Shin, Sang-Cheol</v>
      </c>
      <c r="E61" t="str">
        <v>Environmental Health</v>
      </c>
      <c r="F61" t="str">
        <v/>
      </c>
      <c r="G61" s="1" t="d">
        <v>2024-11-21T23:59:08.000Z</v>
      </c>
      <c r="H61" s="1" t="d">
        <v>2025-10-30T23:59:08.000Z</v>
      </c>
      <c r="I61" t="str">
        <v/>
      </c>
      <c r="J61" t="str">
        <v/>
      </c>
      <c r="K61" t="str">
        <v/>
      </c>
    </row>
    <row r="62">
      <c r="A62" t="str">
        <v>2024-104</v>
      </c>
      <c r="B62" t="str">
        <v xml:space="preserve">Commissioned Research </v>
      </c>
      <c r="C62" t="str">
        <v>Analysis of National Strategies and Plans for Addressing Plastic Pollution in the Asia-Pacific Region</v>
      </c>
      <c r="D62" t="str">
        <v xml:space="preserve">Yi, Sora </v>
      </c>
      <c r="E62" t="str">
        <v>Circular Economy</v>
      </c>
      <c r="F62" t="str">
        <v>International Environmental Collaboration</v>
      </c>
      <c r="G62" s="1" t="d">
        <v>2024-11-28T23:59:08.000Z</v>
      </c>
      <c r="H62" s="1" t="d">
        <v>2025-09-29T23:59:08.000Z</v>
      </c>
      <c r="I62" t="str">
        <v/>
      </c>
      <c r="J62" t="str">
        <v/>
      </c>
      <c r="K62" t="str">
        <v/>
      </c>
    </row>
    <row r="63">
      <c r="A63" t="str">
        <v>2024-105</v>
      </c>
      <c r="B63" t="str">
        <v xml:space="preserve">Commissioned Research </v>
      </c>
      <c r="C63" t="str">
        <v>Developing National Long-Term Greenhouse Gas Reduction Pathways</v>
      </c>
      <c r="D63" t="str">
        <v>Kim, Sungjin</v>
      </c>
      <c r="E63" t="str">
        <v>Carbon Neutrality and Energy</v>
      </c>
      <c r="F63" t="str">
        <v/>
      </c>
      <c r="G63" s="1" t="d">
        <v>2024-11-28T23:59:08.000Z</v>
      </c>
      <c r="H63" s="1" t="d">
        <v>2025-01-26T23:59:08.000Z</v>
      </c>
      <c r="I63" t="str">
        <v/>
      </c>
      <c r="J63" t="str">
        <v/>
      </c>
      <c r="K63" t="str">
        <v/>
      </c>
    </row>
    <row r="64">
      <c r="A64" t="str">
        <v>2024-106</v>
      </c>
      <c r="B64" t="str">
        <v xml:space="preserve">Commissioned Research </v>
      </c>
      <c r="C64" t="str">
        <v>Study on Expanding the Scope of Industries Subject to Integrated Environmental Management</v>
      </c>
      <c r="D64" t="str">
        <v>Han, Daeho</v>
      </c>
      <c r="E64" t="str">
        <v>Socio-Environmental Interface</v>
      </c>
      <c r="F64" t="str">
        <v>Land and Urban Environment</v>
      </c>
      <c r="G64" s="1" t="d">
        <v>2024-12-03T23:59:08.000Z</v>
      </c>
      <c r="H64" s="1" t="d">
        <v>2025-07-30T23:59:08.000Z</v>
      </c>
      <c r="I64" t="str">
        <v/>
      </c>
      <c r="J64" t="str">
        <v/>
      </c>
      <c r="K64" t="str">
        <v/>
      </c>
    </row>
    <row r="65">
      <c r="A65" t="str">
        <v>2024-107</v>
      </c>
      <c r="B65" t="str">
        <v xml:space="preserve">Commissioned Research </v>
      </c>
      <c r="C65" t="str">
        <v>Study on the Application of Environmental Management Technologies for Advanced Water Source Management</v>
      </c>
      <c r="D65" t="str">
        <v>Jeon, Dongjin</v>
      </c>
      <c r="E65" t="str">
        <v>Water Management</v>
      </c>
      <c r="F65" t="str">
        <v>AI and Environmental Informatics</v>
      </c>
      <c r="G65" s="1" t="d">
        <v>2024-12-05T23:59:08.000Z</v>
      </c>
      <c r="H65" s="1" t="d">
        <v>2025-04-03T23:59:08.000Z</v>
      </c>
      <c r="I65" t="str">
        <v/>
      </c>
      <c r="J65" t="str">
        <v/>
      </c>
      <c r="K65" t="str">
        <v/>
      </c>
    </row>
    <row r="66">
      <c r="A66" t="str">
        <v>2024-108</v>
      </c>
      <c r="B66" t="str">
        <v xml:space="preserve">Commissioned Research </v>
      </c>
      <c r="C66" t="str">
        <v>Study on Reforming the Water Supply and Waterworks Installation Act to Refine the Water Supply System</v>
      </c>
      <c r="D66" t="str">
        <v>Ryu, Jaena</v>
      </c>
      <c r="E66" t="str">
        <v>Water Management</v>
      </c>
      <c r="F66" t="str">
        <v/>
      </c>
      <c r="G66" s="1" t="d">
        <v>2024-12-08T23:59:08.000Z</v>
      </c>
      <c r="H66" s="1" t="d">
        <v>2025-09-03T23:59:08.000Z</v>
      </c>
      <c r="I66" t="str">
        <v/>
      </c>
      <c r="J66" t="str">
        <v/>
      </c>
      <c r="K66" t="str">
        <v/>
      </c>
    </row>
    <row r="67">
      <c r="A67" t="str">
        <v>2024-109</v>
      </c>
      <c r="B67" t="str">
        <v xml:space="preserve">Commissioned Research </v>
      </c>
      <c r="C67" t="str">
        <v>Developing Strategies to Improve the Certification System for Water Supply Materials and Products</v>
      </c>
      <c r="D67" t="str">
        <v>Ryu, Jaena</v>
      </c>
      <c r="E67" t="str">
        <v>Water Management</v>
      </c>
      <c r="F67" t="str">
        <v>Socio-Environmental Interface</v>
      </c>
      <c r="G67" s="1" t="d">
        <v>2024-12-09T23:59:08.000Z</v>
      </c>
      <c r="H67" s="1" t="d">
        <v>2025-12-03T23:59:08.000Z</v>
      </c>
      <c r="I67" t="str">
        <v/>
      </c>
      <c r="J67" t="str">
        <v/>
      </c>
      <c r="K67" t="str">
        <v/>
      </c>
    </row>
    <row r="68">
      <c r="A68" t="str">
        <v>2024-110</v>
      </c>
      <c r="B68" t="str">
        <v xml:space="preserve">Commissioned Research </v>
      </c>
      <c r="C68" t="str">
        <v>Establishment of the National Basic Strategy for Sustainable Development (2026-2045)</v>
      </c>
      <c r="D68" t="str">
        <v>Chung, Woo Hyun</v>
      </c>
      <c r="E68" t="str">
        <v>Sustainable Development</v>
      </c>
      <c r="F68" t="str">
        <v/>
      </c>
      <c r="G68" s="1" t="d">
        <v>2024-12-17T23:59:08.000Z</v>
      </c>
      <c r="H68" s="1" t="d">
        <v>2025-10-30T23:59:08.000Z</v>
      </c>
      <c r="I68" t="str">
        <v/>
      </c>
      <c r="J68" t="str">
        <v/>
      </c>
      <c r="K68" t="str">
        <v/>
      </c>
    </row>
    <row r="69">
      <c r="A69" t="str">
        <v>2025-001-01</v>
      </c>
      <c r="B69" t="str">
        <v xml:space="preserve">Commissioned Research </v>
      </c>
      <c r="C69" t="str">
        <v>National Climate Adaptation Planning and Support for Policy Mainstreaming</v>
      </c>
      <c r="D69" t="str">
        <v>Shin, Jiyoung</v>
      </c>
      <c r="E69" t="str">
        <v>Climate Adaptation</v>
      </c>
      <c r="F69" t="str">
        <v/>
      </c>
      <c r="G69" s="1" t="d">
        <v>2024-12-31T23:59:08.000Z</v>
      </c>
      <c r="H69" s="1" t="d">
        <v>2025-12-30T23:59:08.000Z</v>
      </c>
      <c r="I69" t="str">
        <v/>
      </c>
      <c r="J69" t="str">
        <v/>
      </c>
      <c r="K69" t="str">
        <v/>
      </c>
    </row>
    <row r="70">
      <c r="A70" t="str">
        <v>2025-001-02</v>
      </c>
      <c r="B70" t="str">
        <v xml:space="preserve">Commissioned Research </v>
      </c>
      <c r="C70" t="str">
        <v>Enhancing Climate Adaptation and Reducing Vulnerability in Local Governments</v>
      </c>
      <c r="D70" t="str">
        <v>Park, Jin-han</v>
      </c>
      <c r="E70" t="str">
        <v>Climate Adaptation</v>
      </c>
      <c r="F70" t="str">
        <v>Socio-Environmental Interface</v>
      </c>
      <c r="G70" s="1" t="d">
        <v>2024-12-31T23:59:08.000Z</v>
      </c>
      <c r="H70" s="1" t="d">
        <v>2025-12-30T23:59:08.000Z</v>
      </c>
      <c r="I70" t="str">
        <v/>
      </c>
      <c r="J70" t="str">
        <v/>
      </c>
      <c r="K70" t="str">
        <v/>
      </c>
    </row>
    <row r="71">
      <c r="A71" t="str">
        <v>2025-001-03</v>
      </c>
      <c r="B71" t="str">
        <v xml:space="preserve">Commissioned Research </v>
      </c>
      <c r="C71" t="str">
        <v xml:space="preserve">Enhancing the Adaptation Capacity of Stakeholders </v>
      </c>
      <c r="D71" t="str">
        <v>Cho, Hanna</v>
      </c>
      <c r="E71" t="str">
        <v>Climate Adaptation</v>
      </c>
      <c r="F71" t="str">
        <v>Socio-Environmental Interface</v>
      </c>
      <c r="G71" s="1" t="d">
        <v>2024-12-31T23:59:08.000Z</v>
      </c>
      <c r="H71" s="1" t="d">
        <v>2025-12-30T23:59:08.000Z</v>
      </c>
      <c r="I71" t="str">
        <v/>
      </c>
      <c r="J71" t="str">
        <v/>
      </c>
      <c r="K71" t="str">
        <v/>
      </c>
    </row>
    <row r="72">
      <c r="A72" t="str">
        <v>2025-001-04</v>
      </c>
      <c r="B72" t="str">
        <v xml:space="preserve">Commissioned Research </v>
      </c>
      <c r="C72" t="str">
        <v>Promoting Climate Adaptation Cooperation in Korea and Abroad</v>
      </c>
      <c r="D72" t="str">
        <v>Cho, Hanna</v>
      </c>
      <c r="E72" t="str">
        <v>Climate Adaptation</v>
      </c>
      <c r="F72" t="str">
        <v>International Environmental Collaboration</v>
      </c>
      <c r="G72" s="1" t="d">
        <v>2024-12-31T23:59:08.000Z</v>
      </c>
      <c r="H72" s="1" t="d">
        <v>2025-12-30T23:59:08.000Z</v>
      </c>
      <c r="I72" t="str">
        <v/>
      </c>
      <c r="J72" t="str">
        <v/>
      </c>
      <c r="K72" t="str">
        <v/>
      </c>
    </row>
    <row r="73">
      <c r="A73" t="str">
        <v>2025-001-05</v>
      </c>
      <c r="B73" t="str">
        <v xml:space="preserve">Commissioned Research </v>
      </c>
      <c r="C73" t="str">
        <v>Comprehensive Study and Research on Adaptation Policies</v>
      </c>
      <c r="D73" t="str">
        <v>Jung, Huicheul</v>
      </c>
      <c r="E73" t="str">
        <v>Climate Adaptation</v>
      </c>
      <c r="F73" t="str">
        <v/>
      </c>
      <c r="G73" s="1" t="d">
        <v>2024-12-31T23:59:08.000Z</v>
      </c>
      <c r="H73" s="1" t="d">
        <v>2025-12-30T23:59:08.000Z</v>
      </c>
      <c r="I73" t="str">
        <v/>
      </c>
      <c r="J73" t="str">
        <v/>
      </c>
      <c r="K73" t="str">
        <v/>
      </c>
    </row>
    <row r="74">
      <c r="A74" t="str">
        <v>2025-002</v>
      </c>
      <c r="B74" t="str">
        <v xml:space="preserve">Commissioned Research </v>
      </c>
      <c r="C74" t="str">
        <v>DM Project (Year 3)</v>
      </c>
      <c r="D74" t="str">
        <v xml:space="preserve">Lee, Seungsoo </v>
      </c>
      <c r="E74" t="str">
        <v>Water Management</v>
      </c>
      <c r="F74" t="str">
        <v/>
      </c>
      <c r="G74" s="1" t="d">
        <v>2024-12-31T23:59:08.000Z</v>
      </c>
      <c r="H74" s="1" t="d">
        <v>2025-12-30T23:59:08.000Z</v>
      </c>
      <c r="I74" t="str">
        <v/>
      </c>
      <c r="J74" t="str">
        <v/>
      </c>
      <c r="K74" t="str">
        <v/>
      </c>
    </row>
    <row r="75">
      <c r="A75" t="str">
        <v>2025-003</v>
      </c>
      <c r="B75" t="str">
        <v xml:space="preserve">Commissioned Research </v>
      </c>
      <c r="C75" t="str">
        <v>2025 Development and Management of National Land Environmental Assessment Maps</v>
      </c>
      <c r="D75" t="str">
        <v>Yoon, Jeongho</v>
      </c>
      <c r="E75" t="str">
        <v>Land and Urban Environment</v>
      </c>
      <c r="F75" t="str">
        <v>Environmental Assessment</v>
      </c>
      <c r="G75" s="1" t="d">
        <v>2024-12-31T23:59:08.000Z</v>
      </c>
      <c r="H75" s="1" t="d">
        <v>2025-12-30T23:59:08.000Z</v>
      </c>
      <c r="I75" t="str">
        <v/>
      </c>
      <c r="J75" t="str">
        <v/>
      </c>
      <c r="K75" t="str">
        <v/>
      </c>
    </row>
    <row r="76">
      <c r="A76" t="str">
        <v>2025-004</v>
      </c>
      <c r="B76" t="str">
        <v xml:space="preserve">Commissioned Research </v>
      </c>
      <c r="C76" t="str">
        <v>KOICA Climate Mainstreaming Strategy and Action Plan Development Consulting (Phase 2)</v>
      </c>
      <c r="D76" t="str">
        <v>Chang, Hoon</v>
      </c>
      <c r="E76" t="str">
        <v>Climate Adaptation</v>
      </c>
      <c r="F76" t="str">
        <v>International Environmental Collaboration</v>
      </c>
      <c r="G76" s="1" t="d">
        <v>2024-12-31T23:59:08.000Z</v>
      </c>
      <c r="H76" s="1" t="d">
        <v>2025-12-30T23:59:08.000Z</v>
      </c>
      <c r="I76" t="str">
        <v/>
      </c>
      <c r="J76" t="str">
        <v/>
      </c>
      <c r="K76" t="str">
        <v/>
      </c>
    </row>
    <row r="77">
      <c r="A77" t="str">
        <v>2025-005(R)</v>
      </c>
      <c r="B77" t="str">
        <v xml:space="preserve">Commissioned Research </v>
      </c>
      <c r="C77" t="str">
        <v>Developing Quantitative Assessment Techniques for Wetland Ecosystem Services and Value (Year 4)</v>
      </c>
      <c r="D77" t="str">
        <v>Kim, Hyunno</v>
      </c>
      <c r="E77" t="str">
        <v>Environmental Economics</v>
      </c>
      <c r="F77" t="str">
        <v>Ecology</v>
      </c>
      <c r="G77" s="1" t="d">
        <v>2024-12-31T23:59:08.000Z</v>
      </c>
      <c r="H77" s="1" t="d">
        <v>2025-12-30T23:59:08.000Z</v>
      </c>
      <c r="I77" t="str">
        <v/>
      </c>
      <c r="J77" t="str">
        <v/>
      </c>
      <c r="K77" t="str">
        <v/>
      </c>
    </row>
    <row r="78">
      <c r="A78" t="str">
        <v>2025-006(R)</v>
      </c>
      <c r="B78" t="str">
        <v xml:space="preserve">Commissioned Research </v>
      </c>
      <c r="C78" t="str">
        <v>Identifying Suitable Sites for Public-Led Offshore Wind Projects (Year 2)</v>
      </c>
      <c r="D78" t="str">
        <v>Cho, Kongjang</v>
      </c>
      <c r="E78" t="str">
        <v>Socio-Environmental Interface</v>
      </c>
      <c r="F78" t="str">
        <v>Carbon Neutrality and Energy</v>
      </c>
      <c r="G78" s="1" t="d">
        <v>2024-12-31T23:59:08.000Z</v>
      </c>
      <c r="H78" s="1" t="d">
        <v>2026-12-30T23:59:08.000Z</v>
      </c>
      <c r="I78" t="str">
        <v/>
      </c>
      <c r="J78" t="str">
        <v/>
      </c>
      <c r="K78" t="str">
        <v/>
      </c>
    </row>
    <row r="79">
      <c r="A79" t="str">
        <v>2025-007(R)</v>
      </c>
      <c r="B79" t="str">
        <v xml:space="preserve">Commissioned Research </v>
      </c>
      <c r="C79" t="str">
        <v>Enhancing the Implementation of WMO’s Integrated Global Greenhouse Gas Information System (IG³IS) (Year 2)</v>
      </c>
      <c r="D79" t="str">
        <v>Han, Jihyun and Shim, Changsub</v>
      </c>
      <c r="E79" t="str">
        <v>AI and Environmental Informatics</v>
      </c>
      <c r="F79" t="str">
        <v>Carbon Neutrality and Energy</v>
      </c>
      <c r="G79" s="1" t="d">
        <v>2024-12-31T23:59:08.000Z</v>
      </c>
      <c r="H79" s="1" t="d">
        <v>2025-12-30T23:59:08.000Z</v>
      </c>
      <c r="I79" t="str">
        <v/>
      </c>
      <c r="J79" t="str">
        <v/>
      </c>
      <c r="K79" t="str">
        <v/>
      </c>
    </row>
    <row r="80">
      <c r="A80" t="str">
        <v>2025-008(R)</v>
      </c>
      <c r="B80" t="str">
        <v xml:space="preserve">Commissioned Research </v>
      </c>
      <c r="C80" t="str">
        <v>Development of an AI-Based Decision Support System for Maritime Search and Rescue (Year 4)</v>
      </c>
      <c r="D80" t="str">
        <v>Kim, Choong-ki</v>
      </c>
      <c r="E80" t="str">
        <v>Marine Environment</v>
      </c>
      <c r="F80" t="str">
        <v>AI and Environmental Informatics</v>
      </c>
      <c r="G80" s="1" t="d">
        <v>2024-12-31T23:59:08.000Z</v>
      </c>
      <c r="H80" s="1" t="d">
        <v>2025-12-30T23:59:08.000Z</v>
      </c>
      <c r="I80" t="str">
        <v/>
      </c>
      <c r="J80" t="str">
        <v/>
      </c>
      <c r="K80" t="str">
        <v/>
      </c>
    </row>
    <row r="81">
      <c r="A81" t="str">
        <v>2025-009(R)</v>
      </c>
      <c r="B81" t="str">
        <v xml:space="preserve">Commissioned Research </v>
      </c>
      <c r="C81" t="str">
        <v>Development and Application of an Integrated Impact Assessment Platform for Decision-Making in Climate Change Adaptation (Year 4)</v>
      </c>
      <c r="D81" t="str">
        <v>Song, Youngil</v>
      </c>
      <c r="E81" t="str">
        <v>Climate Adaptation</v>
      </c>
      <c r="F81" t="str">
        <v>AI and Environmental Informatics</v>
      </c>
      <c r="G81" s="1" t="d">
        <v>2024-12-31T23:59:08.000Z</v>
      </c>
      <c r="H81" s="1" t="d">
        <v>2025-12-30T23:59:08.000Z</v>
      </c>
      <c r="I81" t="str">
        <v/>
      </c>
      <c r="J81" t="str">
        <v/>
      </c>
      <c r="K81" t="str">
        <v/>
      </c>
    </row>
    <row r="82">
      <c r="A82" t="str">
        <v>2025-009(R)-01</v>
      </c>
      <c r="B82" t="str">
        <v xml:space="preserve">Commissioned Research </v>
      </c>
      <c r="C82" t="str">
        <v>Developing a Decision-Support Module for Adaptation Strategy Selection and Risk Mitigation Evaluation</v>
      </c>
      <c r="D82" t="str">
        <v>Song, Youngil</v>
      </c>
      <c r="E82" t="str">
        <v>Climate Adaptation</v>
      </c>
      <c r="F82" t="str">
        <v>AI and Environmental Informatics</v>
      </c>
      <c r="G82" s="1" t="d">
        <v>2024-12-31T23:59:08.000Z</v>
      </c>
      <c r="H82" s="1" t="d">
        <v>2025-12-30T23:59:08.000Z</v>
      </c>
      <c r="I82" t="str">
        <v/>
      </c>
      <c r="J82" t="str">
        <v/>
      </c>
      <c r="K82" t="str">
        <v/>
      </c>
    </row>
    <row r="83">
      <c r="A83" t="str">
        <v>2025-009(R)-02</v>
      </c>
      <c r="B83" t="str">
        <v xml:space="preserve">Commissioned Research </v>
      </c>
      <c r="C83" t="str">
        <v>Developing a Regional Water Management System for Climate Change Impact and Risk Evaluation</v>
      </c>
      <c r="D83" t="str">
        <v>Ahn, Jongho</v>
      </c>
      <c r="E83" t="str">
        <v>Water Management</v>
      </c>
      <c r="F83" t="str">
        <v>Climate Adaptation</v>
      </c>
      <c r="G83" s="1" t="d">
        <v>2024-12-31T23:59:08.000Z</v>
      </c>
      <c r="H83" s="1" t="d">
        <v>2025-12-30T23:59:08.000Z</v>
      </c>
      <c r="I83" t="str">
        <v/>
      </c>
      <c r="J83" t="str">
        <v/>
      </c>
      <c r="K83" t="str">
        <v/>
      </c>
    </row>
    <row r="84">
      <c r="A84" t="str">
        <v>2025-010(R)</v>
      </c>
      <c r="B84" t="str">
        <v xml:space="preserve">Commissioned Research </v>
      </c>
      <c r="C84" t="str">
        <v>Global Power Sector Modeling for Advancing Carbon Neutrality (Year 4)</v>
      </c>
      <c r="D84" t="str">
        <v>Chang, Hoon</v>
      </c>
      <c r="E84" t="str">
        <v>Carbon Neutrality and Energy</v>
      </c>
      <c r="F84" t="str">
        <v>International Environmental Collaboration</v>
      </c>
      <c r="G84" s="1" t="d">
        <v>2024-12-31T23:59:08.000Z</v>
      </c>
      <c r="H84" s="1" t="d">
        <v>2025-12-30T23:59:08.000Z</v>
      </c>
      <c r="I84" t="str">
        <v/>
      </c>
      <c r="J84" t="str">
        <v/>
      </c>
      <c r="K84" t="str">
        <v/>
      </c>
    </row>
    <row r="85">
      <c r="A85" t="str">
        <v>2025-011(R)</v>
      </c>
      <c r="B85" t="str">
        <v xml:space="preserve">Commissioned Research </v>
      </c>
      <c r="C85" t="str">
        <v>Evaluation of Urban Climate Resilience Technologies and Development of a Decision Support System (Year 4)</v>
      </c>
      <c r="D85" t="str">
        <v>Jung, Huicheul</v>
      </c>
      <c r="E85" t="str">
        <v>Climate Adaptation</v>
      </c>
      <c r="F85" t="str">
        <v>AI and Environmental Informatics</v>
      </c>
      <c r="G85" s="1" t="d">
        <v>2024-12-31T23:59:08.000Z</v>
      </c>
      <c r="H85" s="1" t="d">
        <v>2025-12-30T23:59:08.000Z</v>
      </c>
      <c r="I85" t="str">
        <v/>
      </c>
      <c r="J85" t="str">
        <v/>
      </c>
      <c r="K85" t="str">
        <v/>
      </c>
    </row>
    <row r="86">
      <c r="A86" t="str">
        <v>2025-012(R)</v>
      </c>
      <c r="B86" t="str">
        <v xml:space="preserve">Commissioned Research </v>
      </c>
      <c r="C86" t="str">
        <v/>
      </c>
      <c r="D86" t="str">
        <v xml:space="preserve">Jung, Dawoon </v>
      </c>
      <c r="E86" t="str">
        <v/>
      </c>
      <c r="F86" t="str">
        <v/>
      </c>
      <c r="G86" s="1" t="d">
        <v>2024-12-31T23:59:08.000Z</v>
      </c>
      <c r="H86" s="1" t="d">
        <v>2025-12-30T23:59:08.000Z</v>
      </c>
      <c r="I86" t="str">
        <v/>
      </c>
      <c r="J86" t="str">
        <v/>
      </c>
      <c r="K86" t="str">
        <v/>
      </c>
    </row>
    <row r="87">
      <c r="A87" t="str">
        <v>2025-013(R)</v>
      </c>
      <c r="B87" t="str">
        <v xml:space="preserve">Commissioned Research </v>
      </c>
      <c r="C87" t="str">
        <v>Development and Application of Techniques for Water Scarcity Damage Analysis and Socioeconomic Valuation of Water Supply (Year 3)</v>
      </c>
      <c r="D87" t="str">
        <v>Lee, Moonhwan</v>
      </c>
      <c r="E87" t="str">
        <v>Water Management</v>
      </c>
      <c r="F87" t="str">
        <v>Environmental Economics</v>
      </c>
      <c r="G87" s="1" t="d">
        <v>2024-12-31T23:59:08.000Z</v>
      </c>
      <c r="H87" s="1" t="d">
        <v>2025-12-30T23:59:08.000Z</v>
      </c>
      <c r="I87" t="str">
        <v/>
      </c>
      <c r="J87" t="str">
        <v/>
      </c>
      <c r="K87" t="str">
        <v/>
      </c>
    </row>
    <row r="88">
      <c r="A88" t="str">
        <v>2025-014(R)</v>
      </c>
      <c r="B88" t="str">
        <v xml:space="preserve">Commissioned Research </v>
      </c>
      <c r="C88" t="str">
        <v>Technology Development for Supporting Carbon Mapping-Based Planning (Year 3)</v>
      </c>
      <c r="D88" t="str">
        <v xml:space="preserve">Kim, Geunhan </v>
      </c>
      <c r="E88" t="str">
        <v>Land and Urban Environment</v>
      </c>
      <c r="F88" t="str">
        <v>Carbon Neutrality and Energy</v>
      </c>
      <c r="G88" s="1" t="d">
        <v>2024-12-31T23:59:08.000Z</v>
      </c>
      <c r="H88" s="1" t="d">
        <v>2025-12-30T23:59:08.000Z</v>
      </c>
      <c r="I88" t="str">
        <v/>
      </c>
      <c r="J88" t="str">
        <v/>
      </c>
      <c r="K88" t="str">
        <v/>
      </c>
    </row>
    <row r="89">
      <c r="A89" t="str">
        <v>2025-015(R)</v>
      </c>
      <c r="B89" t="str">
        <v xml:space="preserve">Commissioned Research </v>
      </c>
      <c r="C89" t="str">
        <v>Developing Technologies for Assessing and Predicting Wetland Ecosystem Responses to Climate Change (Year 4)</v>
      </c>
      <c r="D89" t="str">
        <v>Myeong, Soojeong</v>
      </c>
      <c r="E89" t="str">
        <v>Ecology</v>
      </c>
      <c r="F89" t="str">
        <v>Climate Adaptation</v>
      </c>
      <c r="G89" s="1" t="d">
        <v>2024-12-31T23:59:08.000Z</v>
      </c>
      <c r="H89" s="1" t="d">
        <v>2025-12-30T23:59:08.000Z</v>
      </c>
      <c r="I89" t="str">
        <v/>
      </c>
      <c r="J89" t="str">
        <v/>
      </c>
      <c r="K89" t="str">
        <v/>
      </c>
    </row>
    <row r="90">
      <c r="A90" t="str">
        <v>2025-017(R)</v>
      </c>
      <c r="B90" t="str">
        <v xml:space="preserve">Commissioned Research </v>
      </c>
      <c r="C90" t="str">
        <v>Developing AI-Based Practical Tools for Urban Flood Risk Prediction and Assessment (Year 2)</v>
      </c>
      <c r="D90" t="str">
        <v>Lee, Moonhwan</v>
      </c>
      <c r="E90" t="str">
        <v>Water Management</v>
      </c>
      <c r="F90" t="str">
        <v>AI and Environmental Informatics</v>
      </c>
      <c r="G90" s="1" t="d">
        <v>2024-12-31T23:59:08.000Z</v>
      </c>
      <c r="H90" s="1" t="d">
        <v>2025-12-30T23:59:08.000Z</v>
      </c>
      <c r="I90" t="str">
        <v/>
      </c>
      <c r="J90" t="str">
        <v/>
      </c>
      <c r="K90" t="str">
        <v/>
      </c>
    </row>
    <row r="91">
      <c r="A91" t="str">
        <v>2025-018(R)</v>
      </c>
      <c r="B91" t="str">
        <v xml:space="preserve">Commissioned Research </v>
      </c>
      <c r="C91" t="str">
        <v>Developing an Integrated Management Platform for Carbon Sinks Incorporating Ecosystem Services (Year 3)</v>
      </c>
      <c r="D91" t="str">
        <v>Myeong, Soojeong</v>
      </c>
      <c r="E91" t="str">
        <v>Carbon Neutrality and Energy</v>
      </c>
      <c r="F91" t="str">
        <v>Ecology</v>
      </c>
      <c r="G91" s="1" t="d">
        <v>2024-12-31T23:59:08.000Z</v>
      </c>
      <c r="H91" s="1" t="d">
        <v>2025-12-30T23:59:08.000Z</v>
      </c>
      <c r="I91" t="str">
        <v/>
      </c>
      <c r="J91" t="str">
        <v/>
      </c>
      <c r="K91" t="str">
        <v/>
      </c>
    </row>
    <row r="92">
      <c r="A92" t="str">
        <v>2025-019(R)</v>
      </c>
      <c r="B92" t="str">
        <v xml:space="preserve">Commissioned Research </v>
      </c>
      <c r="C92" t="str">
        <v>Developing Impact Assessment and Management Technologies for Hazardous Emissions from Marine Industrial Facilities (Year 5)</v>
      </c>
      <c r="D92" t="str">
        <v>Kim, Taeyun</v>
      </c>
      <c r="E92" t="str">
        <v>Environmental Assessment</v>
      </c>
      <c r="F92" t="str">
        <v>Marine Environment</v>
      </c>
      <c r="G92" s="1" t="d">
        <v>2024-12-31T23:59:08.000Z</v>
      </c>
      <c r="H92" s="1" t="d">
        <v>2025-12-30T23:59:08.000Z</v>
      </c>
      <c r="I92" t="str">
        <v/>
      </c>
      <c r="J92" t="str">
        <v/>
      </c>
      <c r="K92" t="str">
        <v/>
      </c>
    </row>
    <row r="93">
      <c r="A93" t="str">
        <v>2025-020(R)</v>
      </c>
      <c r="B93" t="str">
        <v xml:space="preserve">Commissioned Research </v>
      </c>
      <c r="C93" t="str">
        <v>Developing Technologies to Build an Observation-Based GHG Spatial Information Mapping Platform (Year 3)</v>
      </c>
      <c r="D93" t="str">
        <v>Lee, Seungmin</v>
      </c>
      <c r="E93" t="str">
        <v>Carbon Neutrality and Energy</v>
      </c>
      <c r="F93" t="str">
        <v>AI and Environmental Informatics</v>
      </c>
      <c r="G93" s="1" t="d">
        <v>2024-12-31T23:59:08.000Z</v>
      </c>
      <c r="H93" s="1" t="d">
        <v>2025-12-30T23:59:08.000Z</v>
      </c>
      <c r="I93" t="str">
        <v/>
      </c>
      <c r="J93" t="str">
        <v/>
      </c>
      <c r="K93" t="str">
        <v/>
      </c>
    </row>
    <row r="94">
      <c r="A94" t="str">
        <v>2025-021(R)</v>
      </c>
      <c r="B94" t="str">
        <v xml:space="preserve">Commissioned Research </v>
      </c>
      <c r="C94" t="str">
        <v>Developing a Customized Regional PM2.5 Management System (Year 6)</v>
      </c>
      <c r="D94" t="str">
        <v>Gong, Sungyong</v>
      </c>
      <c r="E94" t="str">
        <v>Atmospheric Environment</v>
      </c>
      <c r="F94" t="str">
        <v/>
      </c>
      <c r="G94" s="1" t="d">
        <v>2024-12-31T23:59:08.000Z</v>
      </c>
      <c r="H94" s="1" t="d">
        <v>2025-03-30T23:59:08.000Z</v>
      </c>
      <c r="I94" t="str">
        <v/>
      </c>
      <c r="J94" t="str">
        <v/>
      </c>
      <c r="K94" t="str">
        <v/>
      </c>
    </row>
    <row r="95">
      <c r="A95" t="str">
        <v>2025-027(R)</v>
      </c>
      <c r="B95" t="str">
        <v xml:space="preserve">Commissioned Research </v>
      </c>
      <c r="C95" t="str">
        <v>Developing Technologies for Assessing and Predicting the Impacts of Turbidity on Aquatic Ecosystems (Year 5)</v>
      </c>
      <c r="D95" t="str">
        <v>Choi, Mikyoung</v>
      </c>
      <c r="E95" t="str">
        <v>Water Management</v>
      </c>
      <c r="F95" t="str">
        <v>Ecology</v>
      </c>
      <c r="G95" s="1" t="d">
        <v>2024-12-31T23:59:08.000Z</v>
      </c>
      <c r="H95" s="1" t="d">
        <v>2025-12-30T23:59:08.000Z</v>
      </c>
      <c r="I95" t="str">
        <v/>
      </c>
      <c r="J95" t="str">
        <v/>
      </c>
      <c r="K95" t="str">
        <v/>
      </c>
    </row>
    <row r="96">
      <c r="A96" t="str">
        <v>2025-028(R)</v>
      </c>
      <c r="B96" t="str">
        <v xml:space="preserve">Commissioned Research </v>
      </c>
      <c r="C96" t="str">
        <v>Developing Technologies for Assessing Environmental Flow Vulnerability and Integrating Water Quality, Hydrology, and Aquatic Ecology Considering Watershed Environmental Changes (Year 6)</v>
      </c>
      <c r="D96" t="str">
        <v>Kang, Hyeongsik</v>
      </c>
      <c r="E96" t="str">
        <v>Water Management</v>
      </c>
      <c r="F96" t="str">
        <v>Ecology</v>
      </c>
      <c r="G96" s="1" t="d">
        <v>2024-12-31T23:59:08.000Z</v>
      </c>
      <c r="H96" s="1" t="d">
        <v>2025-12-30T23:59:08.000Z</v>
      </c>
      <c r="I96" t="str">
        <v/>
      </c>
      <c r="J96" t="str">
        <v/>
      </c>
      <c r="K96" t="str">
        <v/>
      </c>
    </row>
    <row r="97">
      <c r="A97" t="str">
        <v>2025-030(R)</v>
      </c>
      <c r="B97" t="str">
        <v xml:space="preserve">Commissioned Research </v>
      </c>
      <c r="C97" t="str">
        <v>Development of Core Technologies for Eco-Friendly Seawater-Based Energy Storage to Advance Leading Global Carbon-Neutral Cities (Year 4)</v>
      </c>
      <c r="D97" t="str">
        <v>Cho, Hanna</v>
      </c>
      <c r="E97" t="str">
        <v>Carbon Neutrality and Energy</v>
      </c>
      <c r="F97" t="str">
        <v>Marine Environment</v>
      </c>
      <c r="G97" s="1" t="d">
        <v>2024-12-31T23:59:08.000Z</v>
      </c>
      <c r="H97" s="1" t="d">
        <v>2025-12-30T23:59:08.000Z</v>
      </c>
      <c r="I97" t="str">
        <v/>
      </c>
      <c r="J97" t="str">
        <v/>
      </c>
      <c r="K97" t="str">
        <v/>
      </c>
    </row>
    <row r="98">
      <c r="A98" t="str">
        <v>2025-031(R)</v>
      </c>
      <c r="B98" t="str">
        <v xml:space="preserve">Commissioned Research </v>
      </c>
      <c r="C98" t="str">
        <v>Development of Technologies for Assessing Flood Safety of Longitudinal River Water Infrastructure Considering Physical Changes in River Environments (Year 2)</v>
      </c>
      <c r="D98" t="str">
        <v>Kang, Hyeongsik</v>
      </c>
      <c r="E98" t="str">
        <v>Water Management</v>
      </c>
      <c r="F98" t="str">
        <v>Climate Adaptation</v>
      </c>
      <c r="G98" s="1" t="d">
        <v>2024-12-31T23:59:08.000Z</v>
      </c>
      <c r="H98" s="1" t="d">
        <v>2025-12-30T23:59:08.000Z</v>
      </c>
      <c r="I98" t="str">
        <v/>
      </c>
      <c r="J98" t="str">
        <v/>
      </c>
      <c r="K98" t="str">
        <v/>
      </c>
    </row>
    <row r="99">
      <c r="A99" t="str">
        <v>2025-032(R)</v>
      </c>
      <c r="B99" t="str">
        <v xml:space="preserve">Commissioned Research </v>
      </c>
      <c r="C99" t="str">
        <v>Evaluation of Greenhouse Gas Reduction under the 2030 NDC in the Agriculture and Livestock Sector (Year 2)</v>
      </c>
      <c r="D99" t="str">
        <v>Myeong, Soojeong</v>
      </c>
      <c r="E99" t="str">
        <v>Carbon Neutrality and Energy</v>
      </c>
      <c r="F99" t="str">
        <v>Climate Adaptation</v>
      </c>
      <c r="G99" s="1" t="d">
        <v>2024-12-31T23:59:08.000Z</v>
      </c>
      <c r="H99" s="1" t="d">
        <v>2025-12-30T23:59:08.000Z</v>
      </c>
      <c r="I99" t="str">
        <v/>
      </c>
      <c r="J99" t="str">
        <v/>
      </c>
      <c r="K99" t="str">
        <v/>
      </c>
    </row>
    <row r="100">
      <c r="A100" t="str">
        <v>2025-056(R)</v>
      </c>
      <c r="B100" t="str">
        <v xml:space="preserve">Commissioned Research </v>
      </c>
      <c r="C100" t="str">
        <v>Development of Management Technologies for Persistent Pollutants in the Marine Environment (Year 2)</v>
      </c>
      <c r="D100" t="str">
        <v xml:space="preserve">Jung, Dawoon </v>
      </c>
      <c r="E100" t="str">
        <v>Marine Environment</v>
      </c>
      <c r="F100" t="str">
        <v>Environmental Health</v>
      </c>
      <c r="G100" s="1" t="d">
        <v>2024-12-31T23:59:08.000Z</v>
      </c>
      <c r="H100" s="1" t="d">
        <v>2025-12-30T23:59:08.000Z</v>
      </c>
      <c r="I100" t="str">
        <v/>
      </c>
      <c r="J100" t="str">
        <v/>
      </c>
      <c r="K100" t="str">
        <v/>
      </c>
    </row>
    <row r="101">
      <c r="A101" t="str">
        <v>GP2025-07</v>
      </c>
      <c r="B101" t="str">
        <v>General Project</v>
      </c>
      <c r="C101" t="str">
        <v xml:space="preserve">Advancing ESG Practices and Enhancing Environmental Regulation Efficiency in Korea </v>
      </c>
      <c r="D101" t="str">
        <v>Kim, Hoseok</v>
      </c>
      <c r="E101" t="str">
        <v>Environmental Economics</v>
      </c>
      <c r="F101" t="str">
        <v>Socio-Environmental Interface</v>
      </c>
      <c r="G101" s="1" t="d">
        <v>2024-12-31T23:59:08.000Z</v>
      </c>
      <c r="H101" s="1" t="d">
        <v>2025-12-30T23:59:08.000Z</v>
      </c>
      <c r="I101" t="str">
        <v/>
      </c>
      <c r="J101" t="str">
        <v/>
      </c>
      <c r="K101" t="str">
        <v/>
      </c>
    </row>
    <row r="102">
      <c r="A102" t="str">
        <v>RE2025-01</v>
      </c>
      <c r="B102" t="str">
        <v>Core Research</v>
      </c>
      <c r="C102" t="str">
        <v>Policy Improvements for Managing Human–Wildlife Conflicts in Daily Life</v>
      </c>
      <c r="D102" t="str">
        <v>Hong, Hyunjung</v>
      </c>
      <c r="E102" t="str">
        <v>Ecology</v>
      </c>
      <c r="F102" t="str">
        <v>Socio-Environmental Interface</v>
      </c>
      <c r="G102" s="1" t="d">
        <v>2024-12-31T23:59:08.000Z</v>
      </c>
      <c r="H102" s="1" t="d">
        <v>2025-10-30T23:59:08.000Z</v>
      </c>
      <c r="I102" t="str">
        <v/>
      </c>
      <c r="J102" t="str">
        <v/>
      </c>
      <c r="K102" t="str">
        <v/>
      </c>
    </row>
    <row r="103">
      <c r="A103" t="str">
        <v>RE2025-02</v>
      </c>
      <c r="B103" t="str">
        <v>Core Research</v>
      </c>
      <c r="C103" t="str">
        <v>Policy Reforms for Submarine Cables to Support Offshore Wind Expansion</v>
      </c>
      <c r="D103" t="str">
        <v>Lee, Jae-hyuck</v>
      </c>
      <c r="E103" t="str">
        <v>Carbon Neutrality and Energy</v>
      </c>
      <c r="F103" t="str">
        <v>Marine Environment</v>
      </c>
      <c r="G103" s="1" t="d">
        <v>2024-12-31T23:59:08.000Z</v>
      </c>
      <c r="H103" s="1" t="d">
        <v>2025-10-30T23:59:08.000Z</v>
      </c>
      <c r="I103" t="str">
        <v/>
      </c>
      <c r="J103" t="str">
        <v/>
      </c>
      <c r="K103" t="str">
        <v/>
      </c>
    </row>
    <row r="104">
      <c r="A104" t="str">
        <v>RE2025-03</v>
      </c>
      <c r="B104" t="str">
        <v>Core Research</v>
      </c>
      <c r="C104" t="str">
        <v>Follow-up Measures for Effective Climate Change Impact Assessment: Implementation and Oversight of Agreements in Urban Development Projects</v>
      </c>
      <c r="D104" t="str">
        <v>Kim, Yumi</v>
      </c>
      <c r="E104" t="str">
        <v>Environmental Assessment</v>
      </c>
      <c r="F104" t="str">
        <v>Climate Adaptation</v>
      </c>
      <c r="G104" s="1" t="d">
        <v>2024-12-31T23:59:08.000Z</v>
      </c>
      <c r="H104" s="1" t="d">
        <v>2025-10-30T23:59:08.000Z</v>
      </c>
      <c r="I104" t="str">
        <v/>
      </c>
      <c r="J104" t="str">
        <v/>
      </c>
      <c r="K104" t="str">
        <v/>
      </c>
    </row>
    <row r="105">
      <c r="A105" t="str">
        <v>RE2025-04</v>
      </c>
      <c r="B105" t="str">
        <v>Core Research</v>
      </c>
      <c r="C105" t="str">
        <v>Designation and Management of Climate Resilience Improvement Zones Based on Local Conditions</v>
      </c>
      <c r="D105" t="str">
        <v xml:space="preserve">Kim, Taehyun </v>
      </c>
      <c r="E105" t="str">
        <v>Climate Adaptation</v>
      </c>
      <c r="F105" t="str">
        <v>Land and Urban Environment</v>
      </c>
      <c r="G105" s="1" t="d">
        <v>2024-12-31T23:59:08.000Z</v>
      </c>
      <c r="H105" s="1" t="d">
        <v>2025-10-30T23:59:08.000Z</v>
      </c>
      <c r="I105" t="str">
        <v/>
      </c>
      <c r="J105" t="str">
        <v/>
      </c>
      <c r="K105" t="str">
        <v/>
      </c>
    </row>
    <row r="106">
      <c r="A106" t="str">
        <v>RE2025-05</v>
      </c>
      <c r="B106" t="str">
        <v>Core Research</v>
      </c>
      <c r="C106" t="str">
        <v>Management Strategies for Urban Sewage Overflow and Stormwater Runoff at Point Source Levels to Improve the Aquatic Environment</v>
      </c>
      <c r="D106" t="str">
        <v>Kim, Hojeong</v>
      </c>
      <c r="E106" t="str">
        <v>Water Management</v>
      </c>
      <c r="F106" t="str">
        <v>Land and Urban Environment</v>
      </c>
      <c r="G106" s="1" t="d">
        <v>2024-12-31T23:59:08.000Z</v>
      </c>
      <c r="H106" s="1" t="d">
        <v>2025-10-30T23:59:08.000Z</v>
      </c>
      <c r="I106" t="str">
        <v/>
      </c>
      <c r="J106" t="str">
        <v/>
      </c>
      <c r="K106" t="str">
        <v/>
      </c>
    </row>
    <row r="107">
      <c r="A107" t="str">
        <v>RE2025-06</v>
      </c>
      <c r="B107" t="str">
        <v>Core Research</v>
      </c>
      <c r="C107" t="str">
        <v>Developing Fiscal Estimation Methods for Climate Crisis-Responsive Water Management</v>
      </c>
      <c r="D107" t="str">
        <v>Han, Haejin</v>
      </c>
      <c r="E107" t="str">
        <v>Water Management</v>
      </c>
      <c r="F107" t="str">
        <v>Environmental Economics</v>
      </c>
      <c r="G107" s="1" t="d">
        <v>2024-12-31T23:59:08.000Z</v>
      </c>
      <c r="H107" s="1" t="d">
        <v>2025-12-30T23:59:08.000Z</v>
      </c>
      <c r="I107" t="str">
        <v/>
      </c>
      <c r="J107" t="str">
        <v/>
      </c>
      <c r="K107" t="str">
        <v/>
      </c>
    </row>
    <row r="108">
      <c r="A108" t="str">
        <v>RE2025-07</v>
      </c>
      <c r="B108" t="str">
        <v>Core Research</v>
      </c>
      <c r="C108" t="str">
        <v>Improving the Environmental Impact Assessment System to Ensure Continuity Between Development Planning and Implementation: Area Development Project</v>
      </c>
      <c r="D108" t="str">
        <v>Lee, Sangbum</v>
      </c>
      <c r="E108" t="str">
        <v>Environmental Assessment</v>
      </c>
      <c r="F108" t="str">
        <v>Land and Urban Environment</v>
      </c>
      <c r="G108" s="1" t="d">
        <v>2024-12-31T23:59:08.000Z</v>
      </c>
      <c r="H108" s="1" t="d">
        <v>2025-10-30T23:59:08.000Z</v>
      </c>
      <c r="I108" t="str">
        <v/>
      </c>
      <c r="J108" t="str">
        <v/>
      </c>
      <c r="K108" t="str">
        <v/>
      </c>
    </row>
    <row r="109">
      <c r="A109" t="str">
        <v>RE2025-08</v>
      </c>
      <c r="B109" t="str">
        <v>Core Research</v>
      </c>
      <c r="C109" t="str">
        <v xml:space="preserve">National Climate Governance Models: With Case Studies of Selected Countries </v>
      </c>
      <c r="D109" t="str">
        <v>Chung, Woo Hyun</v>
      </c>
      <c r="E109" t="str">
        <v>Carbon Neutrality and Energy</v>
      </c>
      <c r="F109" t="str">
        <v>Socio-Environmental Interface</v>
      </c>
      <c r="G109" s="1" t="d">
        <v>2024-12-31T23:59:08.000Z</v>
      </c>
      <c r="H109" s="1" t="d">
        <v>2025-12-30T23:59:08.000Z</v>
      </c>
      <c r="I109" t="str">
        <v/>
      </c>
      <c r="J109" t="str">
        <v/>
      </c>
      <c r="K109" t="str">
        <v/>
      </c>
    </row>
    <row r="110">
      <c r="A110" t="str">
        <v>RE2025-09</v>
      </c>
      <c r="B110" t="str">
        <v>Core Research</v>
      </c>
      <c r="C110" t="str">
        <v>Establishing Human Health and Environmental Standards for Persistent Organic Pollutants (POPs)</v>
      </c>
      <c r="D110" t="str">
        <v>Jung, Dawoon and Jeong, Yunsun</v>
      </c>
      <c r="E110" t="str">
        <v>Environmental Health</v>
      </c>
      <c r="F110" t="str">
        <v/>
      </c>
      <c r="G110" s="1" t="d">
        <v>2024-12-31T23:59:08.000Z</v>
      </c>
      <c r="H110" s="1" t="d">
        <v>2025-10-30T23:59:08.000Z</v>
      </c>
      <c r="I110" t="str">
        <v/>
      </c>
      <c r="J110" t="str">
        <v/>
      </c>
      <c r="K110" t="str">
        <v/>
      </c>
    </row>
    <row r="111">
      <c r="A111" t="str">
        <v>RE2025-10</v>
      </c>
      <c r="B111" t="str">
        <v>Core Research</v>
      </c>
      <c r="C111" t="str">
        <v>Integrated Improvement Strategies for Air Pollution Control and Carbon Neutrality in the Cement Industry</v>
      </c>
      <c r="D111" t="str">
        <v>Lee, Seungmin</v>
      </c>
      <c r="E111" t="str">
        <v>Atmospheric Environment</v>
      </c>
      <c r="F111" t="str">
        <v>Carbon Neutrality and Energy</v>
      </c>
      <c r="G111" s="1" t="d">
        <v>2024-12-31T23:59:08.000Z</v>
      </c>
      <c r="H111" s="1" t="d">
        <v>2025-10-30T23:59:08.000Z</v>
      </c>
      <c r="I111" t="str">
        <v/>
      </c>
      <c r="J111" t="str">
        <v/>
      </c>
      <c r="K111" t="str">
        <v/>
      </c>
    </row>
    <row r="112">
      <c r="A112" t="str">
        <v>RE2025-11</v>
      </c>
      <c r="B112" t="str">
        <v>Core Research</v>
      </c>
      <c r="C112" t="str">
        <v>A Study on the Riparian Zone Management System for Watershed Water Environment Improvement (I)</v>
      </c>
      <c r="D112" t="str">
        <v>Kim, Ikjae</v>
      </c>
      <c r="E112" t="str">
        <v>Water Management</v>
      </c>
      <c r="F112" t="str">
        <v>Ecology</v>
      </c>
      <c r="G112" s="1" t="d">
        <v>2024-12-31T23:59:08.000Z</v>
      </c>
      <c r="H112" s="1" t="d">
        <v>2025-12-30T23:59:08.000Z</v>
      </c>
      <c r="I112" t="str">
        <v/>
      </c>
      <c r="J112" t="str">
        <v/>
      </c>
      <c r="K112" t="str">
        <v/>
      </c>
    </row>
    <row r="113">
      <c r="A113" t="str">
        <v>RE2025-12</v>
      </c>
      <c r="B113" t="str">
        <v>Core Research</v>
      </c>
      <c r="C113" t="str">
        <v>Improving Waste and Resource Circulation Statistics in Response to the Implementation of the Act on the Promotion of Transition to Circular Economy and Society in Korea</v>
      </c>
      <c r="D113" t="str">
        <v xml:space="preserve">Yi, Sora </v>
      </c>
      <c r="E113" t="str">
        <v>Circular Economy</v>
      </c>
      <c r="F113" t="str">
        <v>Environmental Economics</v>
      </c>
      <c r="G113" s="1" t="d">
        <v>2024-12-31T23:59:08.000Z</v>
      </c>
      <c r="H113" s="1" t="d">
        <v>2025-10-30T23:59:08.000Z</v>
      </c>
      <c r="I113" t="str">
        <v/>
      </c>
      <c r="J113" t="str">
        <v/>
      </c>
      <c r="K113" t="str">
        <v/>
      </c>
    </row>
    <row r="114">
      <c r="A114" t="str">
        <v>RE2025-13</v>
      </c>
      <c r="B114" t="str">
        <v>Core Research</v>
      </c>
      <c r="C114" t="str">
        <v>Evaluation and Improvement of Policies on Air Pollution Control Facility Installation and IoT-Based Management for Small-Scale Businesses</v>
      </c>
      <c r="D114" t="str">
        <v xml:space="preserve">Han, Jihyun </v>
      </c>
      <c r="E114" t="str">
        <v>Atmospheric Environment</v>
      </c>
      <c r="F114" t="str">
        <v>AI and Environmental Informatics</v>
      </c>
      <c r="G114" s="1" t="d">
        <v>2024-12-31T23:59:08.000Z</v>
      </c>
      <c r="H114" s="1" t="d">
        <v>2025-12-30T23:59:08.000Z</v>
      </c>
      <c r="I114" t="str">
        <v/>
      </c>
      <c r="J114" t="str">
        <v/>
      </c>
      <c r="K114" t="str">
        <v/>
      </c>
    </row>
    <row r="115">
      <c r="A115" t="str">
        <v>RE2025-14</v>
      </c>
      <c r="B115" t="str">
        <v>Core Research</v>
      </c>
      <c r="C115" t="str">
        <v>Climate Change Adaptation Strategies Based on Social Vulnerability and Health Risks</v>
      </c>
      <c r="D115" t="str">
        <v>Suh, Yang-won and Bae, Hyun-Joo</v>
      </c>
      <c r="E115" t="str">
        <v>Environmental Health</v>
      </c>
      <c r="F115" t="str">
        <v>Climate Adaptation</v>
      </c>
      <c r="G115" s="1" t="d">
        <v>2024-12-31T23:59:08.000Z</v>
      </c>
      <c r="H115" s="1" t="d">
        <v>2025-10-30T23:59:08.000Z</v>
      </c>
      <c r="I115" t="str">
        <v/>
      </c>
      <c r="J115" t="str">
        <v/>
      </c>
      <c r="K115" t="str">
        <v/>
      </c>
    </row>
    <row r="116">
      <c r="A116" t="str">
        <v>RE2025-17</v>
      </c>
      <c r="B116" t="str">
        <v>Core Research</v>
      </c>
      <c r="C116" t="str">
        <v>Development of an Integrated Modeling Framework for Assessing Climate and Air Quality (III)</v>
      </c>
      <c r="D116" t="str">
        <v>Kim, Sungjin</v>
      </c>
      <c r="E116" t="str">
        <v>Carbon Neutrality and Energy</v>
      </c>
      <c r="F116" t="str">
        <v>Atmospheric Environment</v>
      </c>
      <c r="G116" s="1" t="d">
        <v>2024-12-31T23:59:08.000Z</v>
      </c>
      <c r="H116" s="1" t="d">
        <v>2025-12-30T23:59:08.000Z</v>
      </c>
      <c r="I116" t="str">
        <v/>
      </c>
      <c r="J116" t="str">
        <v/>
      </c>
      <c r="K116" t="str">
        <v/>
      </c>
    </row>
    <row r="117">
      <c r="A117" t="str">
        <v>2025-022</v>
      </c>
      <c r="B117" t="str">
        <v xml:space="preserve">Commissioned Research </v>
      </c>
      <c r="C117" t="str">
        <v>Empirical Study on Corbicula japonica Habitats in the Lower Seomjin River (Phase 2)</v>
      </c>
      <c r="D117" t="str">
        <v>Baek, Donghae</v>
      </c>
      <c r="E117" t="str">
        <v>Ecology</v>
      </c>
      <c r="F117" t="str">
        <v>Water Management</v>
      </c>
      <c r="G117" s="1" t="d">
        <v>2025-01-14T23:59:08.000Z</v>
      </c>
      <c r="H117" s="1" t="d">
        <v>2026-03-13T23:59:08.000Z</v>
      </c>
      <c r="I117" t="str">
        <v/>
      </c>
      <c r="J117" t="str">
        <v/>
      </c>
      <c r="K117" t="str">
        <v/>
      </c>
    </row>
    <row r="118">
      <c r="A118" t="str">
        <v>2025-023</v>
      </c>
      <c r="B118" t="str">
        <v xml:space="preserve">Commissioned Research </v>
      </c>
      <c r="C118" t="str">
        <v>2024 Progress Review of the First Master Plan for National Water Management</v>
      </c>
      <c r="D118" t="str">
        <v>Ryu, Jaena</v>
      </c>
      <c r="E118" t="str">
        <v>Water Management</v>
      </c>
      <c r="F118" t="str">
        <v>Land and Urban Environment</v>
      </c>
      <c r="G118" s="1" t="d">
        <v>2025-01-16T23:59:08.000Z</v>
      </c>
      <c r="H118" s="1" t="d">
        <v>2025-11-10T23:59:08.000Z</v>
      </c>
      <c r="I118" t="str">
        <v/>
      </c>
      <c r="J118" t="str">
        <v/>
      </c>
      <c r="K118" t="str">
        <v/>
      </c>
    </row>
    <row r="119">
      <c r="A119" t="str">
        <v>WO2025-01</v>
      </c>
      <c r="B119" t="str">
        <v>Policy Study</v>
      </c>
      <c r="C119" t="str">
        <v>Developing Implementation Strategies for the 'Right to Repair' to Promote a Circular Economy</v>
      </c>
      <c r="D119" t="str">
        <v>Jo, Ji Hye</v>
      </c>
      <c r="E119" t="str">
        <v>Circular Economy</v>
      </c>
      <c r="F119" t="str">
        <v>Environmental Economics</v>
      </c>
      <c r="G119" s="1" t="d">
        <v>2025-01-19T23:59:08.000Z</v>
      </c>
      <c r="H119" s="1" t="d">
        <v>2025-07-18T23:59:08.000Z</v>
      </c>
      <c r="I119" t="str">
        <v/>
      </c>
      <c r="J119" t="str">
        <v/>
      </c>
      <c r="K119" t="str">
        <v/>
      </c>
    </row>
    <row r="120">
      <c r="A120" t="str">
        <v>WO2025-02</v>
      </c>
      <c r="B120" t="str">
        <v>Policy Study</v>
      </c>
      <c r="C120" t="str">
        <v>US-China Climate and Renewable Energy in the Trump 2.0 Era: Key Issues and Policy Implications</v>
      </c>
      <c r="D120" t="str">
        <v>Kang, Taek Goo</v>
      </c>
      <c r="E120" t="str">
        <v>Carbon Neutrality and Energy</v>
      </c>
      <c r="F120" t="str">
        <v>International Environmental Collaboration</v>
      </c>
      <c r="G120" s="1" t="d">
        <v>2025-01-19T23:59:08.000Z</v>
      </c>
      <c r="H120" s="1" t="d">
        <v>2025-07-18T23:59:08.000Z</v>
      </c>
      <c r="I120" t="str">
        <v/>
      </c>
      <c r="J120" t="str">
        <v/>
      </c>
      <c r="K120" t="str">
        <v/>
      </c>
    </row>
    <row r="121">
      <c r="A121" t="str">
        <v>WO2025-03</v>
      </c>
      <c r="B121" t="str">
        <v>Policy Study</v>
      </c>
      <c r="C121" t="str">
        <v>Implementation Strategies for Integrating the Planetary Health Paradigm into Environmental Health Policy</v>
      </c>
      <c r="D121" t="str">
        <v xml:space="preserve">Jung, Dawoon </v>
      </c>
      <c r="E121" t="str">
        <v>Environmental Health</v>
      </c>
      <c r="F121" t="str">
        <v>Socio-Environmental Interface</v>
      </c>
      <c r="G121" s="1" t="d">
        <v>2025-01-19T23:59:08.000Z</v>
      </c>
      <c r="H121" s="1" t="d">
        <v>2025-07-18T23:59:08.000Z</v>
      </c>
      <c r="I121" t="str">
        <v/>
      </c>
      <c r="J121" t="str">
        <v/>
      </c>
      <c r="K121" t="str">
        <v/>
      </c>
    </row>
    <row r="122">
      <c r="A122" t="str">
        <v>2025-024</v>
      </c>
      <c r="B122" t="str">
        <v xml:space="preserve">Commissioned Research </v>
      </c>
      <c r="C122" t="str">
        <v>Development of the National Framework for Promoting Water Circulation and a Status Assessment</v>
      </c>
      <c r="D122" t="str">
        <v>Han, Haejin</v>
      </c>
      <c r="E122" t="str">
        <v>Water Management</v>
      </c>
      <c r="F122" t="str">
        <v/>
      </c>
      <c r="G122" s="1" t="d">
        <v>2025-01-23T23:59:08.000Z</v>
      </c>
      <c r="H122" s="1" t="d">
        <v>2025-11-18T23:59:08.000Z</v>
      </c>
      <c r="I122" t="str">
        <v/>
      </c>
      <c r="J122" t="str">
        <v/>
      </c>
      <c r="K122" t="str">
        <v/>
      </c>
    </row>
    <row r="123">
      <c r="A123" t="str">
        <v>2025-026</v>
      </c>
      <c r="B123" t="str">
        <v xml:space="preserve">Commissioned Research </v>
      </c>
      <c r="C123" t="str">
        <v>Developing National Long-Term Greenhouse Gas Reduction Pathways (Phase 2)</v>
      </c>
      <c r="D123" t="str">
        <v>Kim, Sungjin</v>
      </c>
      <c r="E123" t="str">
        <v>Carbon Neutrality and Energy</v>
      </c>
      <c r="F123" t="str">
        <v/>
      </c>
      <c r="G123" s="1" t="d">
        <v>2025-01-27T23:59:08.000Z</v>
      </c>
      <c r="H123" s="1" t="d">
        <v>2025-08-25T23:59:08.000Z</v>
      </c>
      <c r="I123" t="str">
        <v/>
      </c>
      <c r="J123" t="str">
        <v/>
      </c>
      <c r="K123" t="str">
        <v/>
      </c>
    </row>
    <row r="124">
      <c r="A124" t="str">
        <v>2025-025</v>
      </c>
      <c r="B124" t="str">
        <v xml:space="preserve">Commissioned Research </v>
      </c>
      <c r="C124" t="str">
        <v>Operation of the Environmental Impact Assessment Reform Forum</v>
      </c>
      <c r="D124" t="str">
        <v>Kim, Kyoung-Ho</v>
      </c>
      <c r="E124" t="str">
        <v>Environmental Assessment</v>
      </c>
      <c r="F124" t="str">
        <v/>
      </c>
      <c r="G124" s="1" t="d">
        <v>2025-02-06T23:59:08.000Z</v>
      </c>
      <c r="H124" s="1" t="d">
        <v>2025-12-02T23:59:08.000Z</v>
      </c>
      <c r="I124" t="str">
        <v/>
      </c>
      <c r="J124" t="str">
        <v/>
      </c>
      <c r="K124" t="str">
        <v/>
      </c>
    </row>
    <row r="125">
      <c r="A125" t="str">
        <v>2025-029</v>
      </c>
      <c r="B125" t="str">
        <v xml:space="preserve">Commissioned Research </v>
      </c>
      <c r="C125" t="str">
        <v>Developing a Tiered Environmental Impact Assessment System (Phase 2)</v>
      </c>
      <c r="D125" t="str">
        <v xml:space="preserve">Yang, Kyung </v>
      </c>
      <c r="E125" t="str">
        <v>Environmental Assessment</v>
      </c>
      <c r="F125" t="str">
        <v/>
      </c>
      <c r="G125" s="1" t="d">
        <v>2025-02-16T23:59:08.000Z</v>
      </c>
      <c r="H125" s="1" t="d">
        <v>2025-12-11T23:59:08.000Z</v>
      </c>
      <c r="I125" t="str">
        <v/>
      </c>
      <c r="J125" t="str">
        <v/>
      </c>
      <c r="K125" t="str">
        <v/>
      </c>
    </row>
    <row r="126">
      <c r="A126" t="str">
        <v>2025-034</v>
      </c>
      <c r="B126" t="str">
        <v xml:space="preserve">Commissioned Research </v>
      </c>
      <c r="C126" t="str">
        <v>Classification and Analysis of Electrical and Electronic Products to Promote the Eco-Assurance System (EcoAS)</v>
      </c>
      <c r="D126" t="str">
        <v xml:space="preserve">Yi, Sora </v>
      </c>
      <c r="E126" t="str">
        <v>Circular Economy</v>
      </c>
      <c r="F126" t="str">
        <v>Socio-Environmental Interface</v>
      </c>
      <c r="G126" s="1" t="d">
        <v>2025-02-23T23:59:08.000Z</v>
      </c>
      <c r="H126" s="1" t="d">
        <v>2025-11-20T23:59:08.000Z</v>
      </c>
      <c r="I126" t="str">
        <v/>
      </c>
      <c r="J126" t="str">
        <v/>
      </c>
      <c r="K126" t="str">
        <v/>
      </c>
    </row>
    <row r="127">
      <c r="A127" t="str">
        <v>2025-033</v>
      </c>
      <c r="B127" t="str">
        <v xml:space="preserve">Commissioned Research </v>
      </c>
      <c r="C127" t="str">
        <v>Developing Environmental Assessment Approaches for Zero-Carbon Power Sources</v>
      </c>
      <c r="D127" t="str">
        <v>Kim, Taeyun</v>
      </c>
      <c r="E127" t="str">
        <v>Environmental Assessment</v>
      </c>
      <c r="F127" t="str">
        <v>Carbon Neutrality and Energy</v>
      </c>
      <c r="G127" s="1" t="d">
        <v>2025-02-26T23:59:08.000Z</v>
      </c>
      <c r="H127" s="1" t="d">
        <v>2025-12-30T23:59:08.000Z</v>
      </c>
      <c r="I127" t="str">
        <v/>
      </c>
      <c r="J127" t="str">
        <v/>
      </c>
      <c r="K127" t="str">
        <v/>
      </c>
    </row>
    <row r="128">
      <c r="A128" t="str">
        <v>2025-035(R)</v>
      </c>
      <c r="B128" t="str">
        <v xml:space="preserve">Commissioned Research </v>
      </c>
      <c r="C128" t="str">
        <v>Study on Developing a System for Flood Risk Evaluation and Expected Annual Damage based on Flood Damage Types (Year 3)</v>
      </c>
      <c r="D128" t="str">
        <v xml:space="preserve">Jung, Kichul </v>
      </c>
      <c r="E128" t="str">
        <v>Water Management</v>
      </c>
      <c r="F128" t="str">
        <v>Environmental Economics</v>
      </c>
      <c r="G128" s="1" t="d">
        <v>2025-02-28T23:59:08.000Z</v>
      </c>
      <c r="H128" s="1" t="d">
        <v>2026-02-27T23:59:08.000Z</v>
      </c>
      <c r="I128" t="str">
        <v/>
      </c>
      <c r="J128" t="str">
        <v/>
      </c>
      <c r="K128" t="str">
        <v/>
      </c>
    </row>
    <row r="129">
      <c r="A129" t="str">
        <v>2025-042(R)</v>
      </c>
      <c r="B129" t="str">
        <v xml:space="preserve">Commissioned Research </v>
      </c>
      <c r="C129" t="str">
        <v>Resilience Assessment of Biodiversity Using Big Data and Intelligent Technology (RABBIT) (Year 5)</v>
      </c>
      <c r="D129" t="str">
        <v>Choi, Yuyoung</v>
      </c>
      <c r="E129" t="str">
        <v>AI and Environmental Informatics</v>
      </c>
      <c r="F129" t="str">
        <v>Ecology</v>
      </c>
      <c r="G129" s="1" t="d">
        <v>2025-02-28T23:59:08.000Z</v>
      </c>
      <c r="H129" s="1" t="d">
        <v>2027-05-27T23:59:08.000Z</v>
      </c>
      <c r="I129" t="str">
        <v/>
      </c>
      <c r="J129" t="str">
        <v/>
      </c>
      <c r="K129" t="str">
        <v/>
      </c>
    </row>
    <row r="130">
      <c r="A130" t="str">
        <v>BA2025-010-01</v>
      </c>
      <c r="B130" t="str">
        <v>Working Paper</v>
      </c>
      <c r="C130" t="str">
        <v>International Policy Trends on Circular Economy Implementation in the Construction Sector</v>
      </c>
      <c r="D130" t="str">
        <v>Lim, Hyesook</v>
      </c>
      <c r="E130" t="str">
        <v>Circular Economy</v>
      </c>
      <c r="F130" t="str">
        <v/>
      </c>
      <c r="G130" s="1" t="d">
        <v>2025-03-03T23:59:08.000Z</v>
      </c>
      <c r="H130" s="1" t="d">
        <v>2025-09-02T23:59:08.000Z</v>
      </c>
      <c r="I130" t="str">
        <v/>
      </c>
      <c r="J130" t="str">
        <v/>
      </c>
      <c r="K130" t="str">
        <v/>
      </c>
    </row>
    <row r="131">
      <c r="A131" t="str">
        <v>BA2025-010-02</v>
      </c>
      <c r="B131" t="str">
        <v>Working Paper</v>
      </c>
      <c r="C131" t="str">
        <v>Framework Development for Assessing Flood Risk Reduction of Coastal Green-Grey Infrastructure</v>
      </c>
      <c r="D131" t="str">
        <v>Kim, Yeonjoong</v>
      </c>
      <c r="E131" t="str">
        <v>Climate Adaptation</v>
      </c>
      <c r="F131" t="str">
        <v>Marine Environment</v>
      </c>
      <c r="G131" s="1" t="d">
        <v>2025-03-03T23:59:08.000Z</v>
      </c>
      <c r="H131" s="1" t="d">
        <v>2025-09-02T23:59:08.000Z</v>
      </c>
      <c r="I131" t="str">
        <v/>
      </c>
      <c r="J131" t="str">
        <v/>
      </c>
      <c r="K131" t="str">
        <v/>
      </c>
    </row>
    <row r="132">
      <c r="A132" t="str">
        <v>BA2025-010-03</v>
      </c>
      <c r="B132" t="str">
        <v>Working Paper</v>
      </c>
      <c r="C132" t="str">
        <v>From ESG to Natural Capital: Toward Integrated Disclosure Frameworks</v>
      </c>
      <c r="D132" t="str">
        <v xml:space="preserve">Kim, Hyunjung </v>
      </c>
      <c r="E132" t="str">
        <v>Environmental Economics</v>
      </c>
      <c r="F132" t="str">
        <v>Socio-Environmental Interface</v>
      </c>
      <c r="G132" s="1" t="d">
        <v>2025-03-03T23:59:08.000Z</v>
      </c>
      <c r="H132" s="1" t="d">
        <v>2025-09-02T23:59:08.000Z</v>
      </c>
      <c r="I132" t="str">
        <v/>
      </c>
      <c r="J132" t="str">
        <v/>
      </c>
      <c r="K132" t="str">
        <v/>
      </c>
    </row>
    <row r="133">
      <c r="A133" t="str">
        <v>2025-040</v>
      </c>
      <c r="B133" t="str">
        <v xml:space="preserve">Commissioned Research </v>
      </c>
      <c r="C133" t="str">
        <v>Developing a National Candidate Site List for Green Restoration (Year 3)</v>
      </c>
      <c r="D133" t="str">
        <v>Son, Seungwoo</v>
      </c>
      <c r="E133" t="str">
        <v>Land and Urban Environment</v>
      </c>
      <c r="F133" t="str">
        <v>Ecology</v>
      </c>
      <c r="G133" s="1" t="d">
        <v>2025-03-05T23:59:08.000Z</v>
      </c>
      <c r="H133" s="1" t="d">
        <v>2026-03-04T23:59:08.000Z</v>
      </c>
      <c r="I133" t="str">
        <v/>
      </c>
      <c r="J133" t="str">
        <v/>
      </c>
      <c r="K133" t="str">
        <v/>
      </c>
    </row>
    <row r="134">
      <c r="A134" t="str">
        <v>2025-037</v>
      </c>
      <c r="B134" t="str">
        <v xml:space="preserve">Commissioned Research </v>
      </c>
      <c r="C134" t="str">
        <v>Study on the Formulation of the Fifth Comprehensive Noise and Vibration Management Plan</v>
      </c>
      <c r="D134" t="str">
        <v>Park, Taeho</v>
      </c>
      <c r="E134" t="str">
        <v>Socio-Environmental Interface</v>
      </c>
      <c r="F134" t="str">
        <v/>
      </c>
      <c r="G134" s="1" t="d">
        <v>2025-03-06T23:59:08.000Z</v>
      </c>
      <c r="H134" s="1" t="d">
        <v>2025-12-14T23:59:08.000Z</v>
      </c>
      <c r="I134" t="str">
        <v/>
      </c>
      <c r="J134" t="str">
        <v/>
      </c>
      <c r="K134" t="str">
        <v/>
      </c>
    </row>
    <row r="135">
      <c r="A135" t="str">
        <v>2025-038</v>
      </c>
      <c r="B135" t="str">
        <v xml:space="preserve">Commissioned Research </v>
      </c>
      <c r="C135" t="str">
        <v>Advancing Integrated Management of Land and Environmental Planning and Operating Pilot Projects</v>
      </c>
      <c r="D135" t="str">
        <v xml:space="preserve">Song, Jiyoon </v>
      </c>
      <c r="E135" t="str">
        <v>Land and Urban Environment</v>
      </c>
      <c r="F135" t="str">
        <v/>
      </c>
      <c r="G135" s="1" t="d">
        <v>2025-03-06T23:59:08.000Z</v>
      </c>
      <c r="H135" s="1" t="d">
        <v>2025-12-30T23:59:08.000Z</v>
      </c>
      <c r="I135" t="str">
        <v/>
      </c>
      <c r="J135" t="str">
        <v/>
      </c>
      <c r="K135" t="str">
        <v/>
      </c>
    </row>
    <row r="136">
      <c r="A136" t="str">
        <v>2025-039</v>
      </c>
      <c r="B136" t="str">
        <v xml:space="preserve">Commissioned Research </v>
      </c>
      <c r="C136" t="str">
        <v>Evaluating the Outcomes of Special Local Transfers of Consultation Authority (EIA and Landscape Impact Consultation)</v>
      </c>
      <c r="D136" t="str">
        <v>Lee, Sangyun</v>
      </c>
      <c r="E136" t="str">
        <v>Environmental Assessment</v>
      </c>
      <c r="F136" t="str">
        <v/>
      </c>
      <c r="G136" s="1" t="d">
        <v>2025-03-09T23:59:08.000Z</v>
      </c>
      <c r="H136" s="1" t="d">
        <v>2025-12-03T23:59:08.000Z</v>
      </c>
      <c r="I136" t="str">
        <v/>
      </c>
      <c r="J136" t="str">
        <v/>
      </c>
      <c r="K136" t="str">
        <v/>
      </c>
    </row>
    <row r="137">
      <c r="A137" t="str">
        <v>2025-041</v>
      </c>
      <c r="B137" t="str">
        <v xml:space="preserve">Commissioned Research </v>
      </c>
      <c r="C137" t="str">
        <v>Developing Management Approaches for Lighting Outside the Scope of the Light Pollution Prevention Act</v>
      </c>
      <c r="D137" t="str">
        <v>Lee, Sangbum</v>
      </c>
      <c r="E137" t="str">
        <v>Socio-Environmental Interface</v>
      </c>
      <c r="F137" t="str">
        <v>Environmental Assessment</v>
      </c>
      <c r="G137" s="1" t="d">
        <v>2025-03-10T23:59:08.000Z</v>
      </c>
      <c r="H137" s="1" t="d">
        <v>2025-11-27T23:59:08.000Z</v>
      </c>
      <c r="I137" t="str">
        <v/>
      </c>
      <c r="J137" t="str">
        <v/>
      </c>
      <c r="K137" t="str">
        <v/>
      </c>
    </row>
    <row r="138">
      <c r="A138" t="str">
        <v>2025-043</v>
      </c>
      <c r="B138" t="str">
        <v xml:space="preserve">Commissioned Research </v>
      </c>
      <c r="C138" t="str">
        <v>Evaluating the Outcomes of Special Local Transfers of Consultation Authority (Climate Change Impact Assessment)</v>
      </c>
      <c r="D138" t="str">
        <v>Lee, Sangyun</v>
      </c>
      <c r="E138" t="str">
        <v>Environmental Assessment</v>
      </c>
      <c r="F138" t="str">
        <v/>
      </c>
      <c r="G138" s="1" t="d">
        <v>2025-03-12T23:59:08.000Z</v>
      </c>
      <c r="H138" s="1" t="d">
        <v>2025-12-06T23:59:08.000Z</v>
      </c>
      <c r="I138" t="str">
        <v/>
      </c>
      <c r="J138" t="str">
        <v/>
      </c>
      <c r="K138" t="str">
        <v/>
      </c>
    </row>
    <row r="139">
      <c r="A139" t="str">
        <v>2025-036</v>
      </c>
      <c r="B139" t="str">
        <v xml:space="preserve">Commissioned Research </v>
      </c>
      <c r="C139" t="str">
        <v>Study for Revalidation and Expansion of the Jeonbuk West Coast UNESCO Global Geopark</v>
      </c>
      <c r="D139" t="str">
        <v>Lee, Soojae</v>
      </c>
      <c r="E139" t="str">
        <v>Ecology</v>
      </c>
      <c r="F139" t="str">
        <v>Land and Urban Environment</v>
      </c>
      <c r="G139" s="1" t="d">
        <v>2025-03-13T23:59:08.000Z</v>
      </c>
      <c r="H139" s="1" t="d">
        <v>2027-01-01T23:59:08.000Z</v>
      </c>
      <c r="I139" t="str">
        <v/>
      </c>
      <c r="J139" t="str">
        <v/>
      </c>
      <c r="K139" t="str">
        <v/>
      </c>
    </row>
    <row r="140">
      <c r="A140" t="str">
        <v>2025-044</v>
      </c>
      <c r="B140" t="str">
        <v xml:space="preserve">Commissioned Research </v>
      </c>
      <c r="C140" t="str">
        <v>Study on the Effects of BM-Based Pre-Allocation in the Power Sector</v>
      </c>
      <c r="D140" t="str">
        <v>Choi, Hyungsik</v>
      </c>
      <c r="E140" t="str">
        <v>Carbon Neutrality and Energy</v>
      </c>
      <c r="F140" t="str">
        <v>Environmental Economics</v>
      </c>
      <c r="G140" s="1" t="d">
        <v>2025-03-13T23:59:08.000Z</v>
      </c>
      <c r="H140" s="1" t="d">
        <v>2025-11-08T23:59:08.000Z</v>
      </c>
      <c r="I140" t="str">
        <v/>
      </c>
      <c r="J140" t="str">
        <v/>
      </c>
      <c r="K140" t="str">
        <v/>
      </c>
    </row>
    <row r="141">
      <c r="A141" t="str">
        <v>2025-045</v>
      </c>
      <c r="B141" t="str">
        <v xml:space="preserve">Commissioned Research </v>
      </c>
      <c r="C141" t="str">
        <v>Indicator Development for Evaluating National Biodiversity Strategy Implementation (Phase 2)</v>
      </c>
      <c r="D141" t="str">
        <v xml:space="preserve">Koo, Kyung Ah </v>
      </c>
      <c r="E141" t="str">
        <v>Ecology</v>
      </c>
      <c r="F141" t="str">
        <v>International Environmental Collaboration</v>
      </c>
      <c r="G141" s="1" t="d">
        <v>2025-03-17T23:59:08.000Z</v>
      </c>
      <c r="H141" s="1" t="d">
        <v>2025-11-29T23:59:08.000Z</v>
      </c>
      <c r="I141" t="str">
        <v/>
      </c>
      <c r="J141" t="str">
        <v/>
      </c>
      <c r="K141" t="str">
        <v/>
      </c>
    </row>
    <row r="142">
      <c r="A142" t="str">
        <v>2025-016</v>
      </c>
      <c r="B142" t="str">
        <v xml:space="preserve">Commissioned Research </v>
      </c>
      <c r="C142" t="str">
        <v>Developing Technologies for Satellite-based Water Resource Management (II) (Phase 2)</v>
      </c>
      <c r="D142" t="str">
        <v>Lee, Sunmin</v>
      </c>
      <c r="E142" t="str">
        <v>Water Management</v>
      </c>
      <c r="F142" t="str">
        <v>AI and Environmental Informatics</v>
      </c>
      <c r="G142" s="1" t="d">
        <v>2025-03-18T23:59:08.000Z</v>
      </c>
      <c r="H142" s="1" t="d">
        <v>2026-03-17T23:59:08.000Z</v>
      </c>
      <c r="I142" t="str">
        <v/>
      </c>
      <c r="J142" t="str">
        <v/>
      </c>
      <c r="K142" t="str">
        <v/>
      </c>
    </row>
    <row r="143">
      <c r="A143" t="str">
        <v>2025-053</v>
      </c>
      <c r="B143" t="str">
        <v xml:space="preserve">Commissioned Research </v>
      </c>
      <c r="C143" t="str">
        <v>Environmental Health Big Data Information Center (Year 1)</v>
      </c>
      <c r="D143" t="str">
        <v>Bae, Hyun-Joo</v>
      </c>
      <c r="E143" t="str">
        <v>Environmental Health</v>
      </c>
      <c r="F143" t="str">
        <v>AI and Environmental Informatics</v>
      </c>
      <c r="G143" s="1" t="d">
        <v>2025-03-18T23:59:08.000Z</v>
      </c>
      <c r="H143" s="1" t="d">
        <v>2025-12-30T23:59:08.000Z</v>
      </c>
      <c r="I143" t="str">
        <v/>
      </c>
      <c r="J143" t="str">
        <v/>
      </c>
      <c r="K143" t="str">
        <v/>
      </c>
    </row>
    <row r="144">
      <c r="A144" t="str">
        <v>2025-057</v>
      </c>
      <c r="B144" t="str">
        <v xml:space="preserve">Commissioned Research </v>
      </c>
      <c r="C144" t="str">
        <v>Economic Impact Analysis of the 2035 NDC (II)</v>
      </c>
      <c r="D144" t="str">
        <v xml:space="preserve">Moon, Jongwoo </v>
      </c>
      <c r="E144" t="str">
        <v>Environmental Economics</v>
      </c>
      <c r="F144" t="str">
        <v>Carbon Neutrality and Energy</v>
      </c>
      <c r="G144" s="1" t="d">
        <v>2025-03-25T23:59:08.000Z</v>
      </c>
      <c r="H144" s="1" t="d">
        <v>2026-01-25T23:59:08.000Z</v>
      </c>
      <c r="I144" t="str">
        <v/>
      </c>
      <c r="J144" t="str">
        <v/>
      </c>
      <c r="K144" t="str">
        <v/>
      </c>
    </row>
    <row r="145">
      <c r="A145" t="str">
        <v>2025-046</v>
      </c>
      <c r="B145" t="str">
        <v xml:space="preserve">Commissioned Research </v>
      </c>
      <c r="C145" t="str">
        <v>Pilot Compilation of Environmental Goods and Services Sector Accounts</v>
      </c>
      <c r="D145" t="str">
        <v>Kim, Jongho</v>
      </c>
      <c r="E145" t="str">
        <v>Environmental Economics</v>
      </c>
      <c r="F145" t="str">
        <v>AI and Environmental Informatics</v>
      </c>
      <c r="G145" s="1" t="d">
        <v>2025-03-30T23:59:08.000Z</v>
      </c>
      <c r="H145" s="1" t="d">
        <v>2025-12-30T23:59:08.000Z</v>
      </c>
      <c r="I145" t="str">
        <v/>
      </c>
      <c r="J145" t="str">
        <v/>
      </c>
      <c r="K145" t="str">
        <v/>
      </c>
    </row>
    <row r="146">
      <c r="A146" t="str">
        <v>2025-047</v>
      </c>
      <c r="B146" t="str">
        <v xml:space="preserve">Commissioned Research </v>
      </c>
      <c r="C146" t="str">
        <v>Strengthening Airport Bird Strike Prevention and Management to Balance Avian Conservation and Aviation Safety</v>
      </c>
      <c r="D146" t="str">
        <v>Lee, Who-Seung</v>
      </c>
      <c r="E146" t="str">
        <v>Ecology</v>
      </c>
      <c r="F146" t="str">
        <v>Land and Urban Environment</v>
      </c>
      <c r="G146" s="1" t="d">
        <v>2025-03-31T23:59:08.000Z</v>
      </c>
      <c r="H146" s="1" t="d">
        <v>2025-09-26T23:59:08.000Z</v>
      </c>
      <c r="I146" t="str">
        <v/>
      </c>
      <c r="J146" t="str">
        <v/>
      </c>
      <c r="K146" t="str">
        <v/>
      </c>
    </row>
    <row r="147">
      <c r="A147" t="str">
        <v>2025-048</v>
      </c>
      <c r="B147" t="str">
        <v xml:space="preserve">Commissioned Research </v>
      </c>
      <c r="C147" t="str">
        <v>Digital Standardization of Preparatory Documents for EIA</v>
      </c>
      <c r="D147" t="str">
        <v>Ji, Min-Kyu</v>
      </c>
      <c r="E147" t="str">
        <v>Environmental Assessment</v>
      </c>
      <c r="F147" t="str">
        <v>AI and Environmental Informatics</v>
      </c>
      <c r="G147" s="1" t="d">
        <v>2025-03-31T23:59:08.000Z</v>
      </c>
      <c r="H147" s="1" t="d">
        <v>2025-11-25T23:59:08.000Z</v>
      </c>
      <c r="I147" t="str">
        <v/>
      </c>
      <c r="J147" t="str">
        <v/>
      </c>
      <c r="K147" t="str">
        <v/>
      </c>
    </row>
    <row r="148">
      <c r="A148" t="str">
        <v>2025-055(R)</v>
      </c>
      <c r="B148" t="str">
        <v xml:space="preserve">Commissioned Research </v>
      </c>
      <c r="C148" t="str">
        <v>Development of Smart Survey Technology for Areas Vulnerable to Landslides (Year 1)</v>
      </c>
      <c r="D148" t="str">
        <v xml:space="preserve">Kim, Geunhan </v>
      </c>
      <c r="E148" t="str">
        <v>Land and Urban Environment</v>
      </c>
      <c r="F148" t="str">
        <v>AI and Environmental Informatics</v>
      </c>
      <c r="G148" s="1" t="d">
        <v>2025-03-31T23:59:08.000Z</v>
      </c>
      <c r="H148" s="1" t="d">
        <v>2025-12-30T23:59:08.000Z</v>
      </c>
      <c r="I148" t="str">
        <v/>
      </c>
      <c r="J148" t="str">
        <v/>
      </c>
      <c r="K148" t="str">
        <v/>
      </c>
    </row>
    <row r="149">
      <c r="A149" t="str">
        <v>2025-060(R)</v>
      </c>
      <c r="B149" t="str">
        <v xml:space="preserve">Commissioned Research </v>
      </c>
      <c r="C149" t="str">
        <v>Development of Adaptation Strategies for Marine Environments in Response to Subtropicalization: Scenarios, Solutions, and Utilization (Year 1)</v>
      </c>
      <c r="D149" t="str">
        <v xml:space="preserve">Koo, Kyung Ah </v>
      </c>
      <c r="E149" t="str">
        <v>Climate Adaptation</v>
      </c>
      <c r="F149" t="str">
        <v>Marine Environment</v>
      </c>
      <c r="G149" s="1" t="d">
        <v>2025-03-31T23:59:08.000Z</v>
      </c>
      <c r="H149" s="1" t="d">
        <v>2025-12-30T23:59:08.000Z</v>
      </c>
      <c r="I149" t="str">
        <v/>
      </c>
      <c r="J149" t="str">
        <v/>
      </c>
      <c r="K149" t="str">
        <v/>
      </c>
    </row>
    <row r="150">
      <c r="A150" t="str">
        <v>2025-064(R)</v>
      </c>
      <c r="B150" t="str">
        <v xml:space="preserve">Commissioned Research </v>
      </c>
      <c r="C150" t="str">
        <v>Developing Assessment Indicators and Valuation Technologies for Aquatic Ecosystem Services (Year 1)</v>
      </c>
      <c r="D150" t="str">
        <v>Kang, Sungwon</v>
      </c>
      <c r="E150" t="str">
        <v>Environmental Economics</v>
      </c>
      <c r="F150" t="str">
        <v>Ecology</v>
      </c>
      <c r="G150" s="1" t="d">
        <v>2025-03-31T23:59:08.000Z</v>
      </c>
      <c r="H150" s="1" t="d">
        <v>2025-12-30T23:59:08.000Z</v>
      </c>
      <c r="I150" t="str">
        <v/>
      </c>
      <c r="J150" t="str">
        <v/>
      </c>
      <c r="K150" t="str">
        <v/>
      </c>
    </row>
    <row r="151">
      <c r="A151" t="str">
        <v>2025-071(R)</v>
      </c>
      <c r="B151" t="str">
        <v xml:space="preserve">Commissioned Research </v>
      </c>
      <c r="C151" t="str">
        <v>Developing Policy Evaluation Techniques Using Citizen, Social, Economic, and Environmental Data for Citizen-Participatory Climate Adaptation (Year 1)</v>
      </c>
      <c r="D151" t="str">
        <v>Chae, Yeora</v>
      </c>
      <c r="E151" t="str">
        <v>Climate Adaptation</v>
      </c>
      <c r="F151" t="str">
        <v>Socio-Environmental Interface</v>
      </c>
      <c r="G151" s="1" t="d">
        <v>2025-03-31T23:59:08.000Z</v>
      </c>
      <c r="H151" s="1" t="d">
        <v>2025-12-30T23:59:08.000Z</v>
      </c>
      <c r="I151" t="str">
        <v/>
      </c>
      <c r="J151" t="str">
        <v/>
      </c>
      <c r="K151" t="str">
        <v/>
      </c>
    </row>
    <row r="152">
      <c r="A152" t="str">
        <v>2025-072(R)</v>
      </c>
      <c r="B152" t="str">
        <v xml:space="preserve">Commissioned Research </v>
      </c>
      <c r="C152" t="str">
        <v>Establishment of a Standardization Foundation for Smart and Sustainable Cities and Communities and Development of International Standards Related to Carbon-neutral Cities (Year 1)</v>
      </c>
      <c r="D152" t="str">
        <v xml:space="preserve">Song, Jiyoon </v>
      </c>
      <c r="E152" t="str">
        <v>Land and Urban Environment</v>
      </c>
      <c r="F152" t="str">
        <v>Carbon Neutrality and Energy</v>
      </c>
      <c r="G152" s="1" t="d">
        <v>2025-03-31T23:59:08.000Z</v>
      </c>
      <c r="H152" s="1" t="d">
        <v>2028-12-30T23:59:08.000Z</v>
      </c>
      <c r="I152" t="str">
        <v/>
      </c>
      <c r="J152" t="str">
        <v/>
      </c>
      <c r="K152" t="str">
        <v/>
      </c>
    </row>
    <row r="153">
      <c r="A153" t="str">
        <v>2025-079</v>
      </c>
      <c r="B153" t="str">
        <v xml:space="preserve">Commissioned Research </v>
      </c>
      <c r="C153" t="str">
        <v>Study on the Health Effects of Fine Dust and Other Air Pollutants Using a Large-Scale Cohort Study (Phase 1)</v>
      </c>
      <c r="D153" t="str">
        <v>Kang, Sungwon</v>
      </c>
      <c r="E153" t="str">
        <v>Environmental Health</v>
      </c>
      <c r="F153" t="str">
        <v>Atmospheric Environment</v>
      </c>
      <c r="G153" s="1" t="d">
        <v>2025-03-31T23:59:08.000Z</v>
      </c>
      <c r="H153" s="1" t="d">
        <v>2025-12-30T23:59:08.000Z</v>
      </c>
      <c r="I153" t="str">
        <v/>
      </c>
      <c r="J153" t="str">
        <v/>
      </c>
      <c r="K153" t="str">
        <v/>
      </c>
    </row>
    <row r="154">
      <c r="A154" t="str">
        <v>2025-101(R)</v>
      </c>
      <c r="B154" t="str">
        <v xml:space="preserve">Commissioned Research </v>
      </c>
      <c r="C154" t="str">
        <v>Development of Disaster Risk Analysis Technology for Steep Slopes Considering Ground Displacement (Year 1)</v>
      </c>
      <c r="D154" t="str">
        <v xml:space="preserve">Lee, Seungsoo </v>
      </c>
      <c r="E154" t="str">
        <v>Land and Urban Environment</v>
      </c>
      <c r="F154" t="str">
        <v/>
      </c>
      <c r="G154" s="1" t="d">
        <v>2025-03-31T23:59:08.000Z</v>
      </c>
      <c r="H154" s="1" t="d">
        <v>2025-12-30T23:59:08.000Z</v>
      </c>
      <c r="I154" t="str">
        <v/>
      </c>
      <c r="J154" t="str">
        <v/>
      </c>
      <c r="K154" t="str">
        <v/>
      </c>
    </row>
    <row r="155">
      <c r="A155" t="str">
        <v>RR2025-01</v>
      </c>
      <c r="B155" t="str">
        <v>General Project</v>
      </c>
      <c r="C155" t="str">
        <v>A Study on the Promotion of Dam Construction and Management Improvement for Water Environment Conservation : Focusing on Cases of Climate-Adaptive Dams</v>
      </c>
      <c r="D155" t="str">
        <v>Jeon, Dongjin</v>
      </c>
      <c r="E155" t="str">
        <v>Water Management</v>
      </c>
      <c r="F155" t="str">
        <v>Climate Adaptation</v>
      </c>
      <c r="G155" s="1" t="d">
        <v>2025-03-31T23:59:08.000Z</v>
      </c>
      <c r="H155" s="1" t="d">
        <v>2025-09-29T23:59:08.000Z</v>
      </c>
      <c r="I155" t="str">
        <v/>
      </c>
      <c r="J155" t="str">
        <v/>
      </c>
      <c r="K155" t="str">
        <v/>
      </c>
    </row>
    <row r="156">
      <c r="A156" t="str">
        <v>RR2025-02</v>
      </c>
      <c r="B156" t="str">
        <v>General Project</v>
      </c>
      <c r="C156" t="str">
        <v>Study on the Establishment of a National Circular Bioeconomy Strategy</v>
      </c>
      <c r="D156" t="str">
        <v xml:space="preserve">Ju, Munsol </v>
      </c>
      <c r="E156" t="str">
        <v>Circular Economy</v>
      </c>
      <c r="F156" t="str">
        <v>Environmental Economics</v>
      </c>
      <c r="G156" s="1" t="d">
        <v>2025-03-31T23:59:08.000Z</v>
      </c>
      <c r="H156" s="1" t="d">
        <v>2025-09-29T23:59:08.000Z</v>
      </c>
      <c r="I156" t="str">
        <v/>
      </c>
      <c r="J156" t="str">
        <v/>
      </c>
      <c r="K156" t="str">
        <v/>
      </c>
    </row>
    <row r="157">
      <c r="A157" t="str">
        <v>RR2025-03</v>
      </c>
      <c r="B157" t="str">
        <v>General Project</v>
      </c>
      <c r="C157" t="str">
        <v>Policy Tasks and Directions for the Rational Use of Groundwater Dam Water</v>
      </c>
      <c r="D157" t="str">
        <v>Hyun, Yunjung</v>
      </c>
      <c r="E157" t="str">
        <v>Water Management</v>
      </c>
      <c r="F157" t="str">
        <v>Land and Urban Environment</v>
      </c>
      <c r="G157" s="1" t="d">
        <v>2025-03-31T23:59:08.000Z</v>
      </c>
      <c r="H157" s="1" t="d">
        <v>2025-09-29T23:59:08.000Z</v>
      </c>
      <c r="I157" t="str">
        <v/>
      </c>
      <c r="J157" t="str">
        <v/>
      </c>
      <c r="K157" t="str">
        <v/>
      </c>
    </row>
    <row r="158">
      <c r="A158" t="str">
        <v>RR2025-04</v>
      </c>
      <c r="B158" t="str">
        <v>General Project</v>
      </c>
      <c r="C158" t="str">
        <v>Air Quality Impacts and Management of Non-Exhaust Emissions in the Transportation Sector</v>
      </c>
      <c r="D158" t="str">
        <v>Choi, Ki-Chul</v>
      </c>
      <c r="E158" t="str">
        <v>Atmospheric Environment</v>
      </c>
      <c r="F158" t="str">
        <v>Environmental Health</v>
      </c>
      <c r="G158" s="1" t="d">
        <v>2025-03-31T23:59:08.000Z</v>
      </c>
      <c r="H158" s="1" t="d">
        <v>2025-09-29T23:59:08.000Z</v>
      </c>
      <c r="I158" t="str">
        <v/>
      </c>
      <c r="J158" t="str">
        <v/>
      </c>
      <c r="K158" t="str">
        <v/>
      </c>
    </row>
    <row r="159">
      <c r="A159" t="str">
        <v>2025-049</v>
      </c>
      <c r="B159" t="str">
        <v xml:space="preserve">Commissioned Research </v>
      </c>
      <c r="C159" t="str">
        <v>Establishing an Approval System for Local Government Environmental Plans</v>
      </c>
      <c r="D159" t="str">
        <v>Choi, Hee-Sun and Lee, Jiyoung</v>
      </c>
      <c r="E159" t="str">
        <v>Land and Urban Environment</v>
      </c>
      <c r="F159" t="str">
        <v/>
      </c>
      <c r="G159" s="1" t="d">
        <v>2025-04-03T23:59:08.000Z</v>
      </c>
      <c r="H159" s="1" t="d">
        <v>2025-11-29T23:59:08.000Z</v>
      </c>
      <c r="I159" t="str">
        <v/>
      </c>
      <c r="J159" t="str">
        <v/>
      </c>
      <c r="K159" t="str">
        <v/>
      </c>
    </row>
    <row r="160">
      <c r="A160" t="str">
        <v>2025-050</v>
      </c>
      <c r="B160" t="str">
        <v xml:space="preserve">Commissioned Research </v>
      </c>
      <c r="C160" t="str">
        <v>Final Evaluation of the First Comprehensive Plan for Fine Dust Management and Development of the Evaluation Framework for the Second Plan</v>
      </c>
      <c r="D160" t="str">
        <v xml:space="preserve">Han, Jihyun </v>
      </c>
      <c r="E160" t="str">
        <v>Atmospheric Environment</v>
      </c>
      <c r="F160" t="str">
        <v/>
      </c>
      <c r="G160" s="1" t="d">
        <v>2025-04-03T23:59:08.000Z</v>
      </c>
      <c r="H160" s="1" t="d">
        <v>2025-12-18T23:59:08.000Z</v>
      </c>
      <c r="I160" t="str">
        <v/>
      </c>
      <c r="J160" t="str">
        <v/>
      </c>
      <c r="K160" t="str">
        <v/>
      </c>
    </row>
    <row r="161">
      <c r="A161" t="str">
        <v>2025-051</v>
      </c>
      <c r="B161" t="str">
        <v xml:space="preserve">Commissioned Research </v>
      </c>
      <c r="C161" t="str">
        <v>Study on Collective Settlement Regarding Humidifier Disinfectants</v>
      </c>
      <c r="D161" t="str">
        <v>Suh, Yang-won</v>
      </c>
      <c r="E161" t="str">
        <v>Environmental Health</v>
      </c>
      <c r="F161" t="str">
        <v>Socio-Environmental Interface</v>
      </c>
      <c r="G161" s="1" t="d">
        <v>2025-04-07T23:59:08.000Z</v>
      </c>
      <c r="H161" s="1" t="d">
        <v>2026-02-02T23:59:08.000Z</v>
      </c>
      <c r="I161" t="str">
        <v/>
      </c>
      <c r="J161" t="str">
        <v/>
      </c>
      <c r="K161" t="str">
        <v/>
      </c>
    </row>
    <row r="162">
      <c r="A162" t="str">
        <v>2025-052</v>
      </c>
      <c r="B162" t="str">
        <v xml:space="preserve">Commissioned Research </v>
      </c>
      <c r="C162" t="str">
        <v xml:space="preserve">Performance Evaluation of the Air Quality Control Master Plan in Four Air Control Zones </v>
      </c>
      <c r="D162" t="str">
        <v>Lee, Seungmin</v>
      </c>
      <c r="E162" t="str">
        <v>Atmospheric Environment</v>
      </c>
      <c r="F162" t="str">
        <v/>
      </c>
      <c r="G162" s="1" t="d">
        <v>2025-04-07T23:59:08.000Z</v>
      </c>
      <c r="H162" s="1" t="d">
        <v>2026-01-02T23:59:08.000Z</v>
      </c>
      <c r="I162" t="str">
        <v/>
      </c>
      <c r="J162" t="str">
        <v/>
      </c>
      <c r="K162" t="str">
        <v/>
      </c>
    </row>
    <row r="163">
      <c r="A163" t="str">
        <v>2025-054</v>
      </c>
      <c r="B163" t="str">
        <v xml:space="preserve">Commissioned Research </v>
      </c>
      <c r="C163" t="str">
        <v>Securing Next-Generation Response Resources to Cope with Paradigm Shifts in Marine Pollution Accidents</v>
      </c>
      <c r="D163" t="str">
        <v>Kim, Choong-ki</v>
      </c>
      <c r="E163" t="str">
        <v>Marine Environment</v>
      </c>
      <c r="F163" t="str">
        <v/>
      </c>
      <c r="G163" s="1" t="d">
        <v>2025-04-08T23:59:08.000Z</v>
      </c>
      <c r="H163" s="1" t="d">
        <v>2025-10-04T23:59:08.000Z</v>
      </c>
      <c r="I163" t="str">
        <v/>
      </c>
      <c r="J163" t="str">
        <v/>
      </c>
      <c r="K163" t="str">
        <v/>
      </c>
    </row>
    <row r="164">
      <c r="A164" t="str">
        <v>2025-058</v>
      </c>
      <c r="B164" t="str">
        <v xml:space="preserve">Commissioned Research </v>
      </c>
      <c r="C164" t="str">
        <v>Policy Development to Promote Water Sector Initiatives</v>
      </c>
      <c r="D164" t="str">
        <v xml:space="preserve">Oh, Myoungjin </v>
      </c>
      <c r="E164" t="str">
        <v>Water Management</v>
      </c>
      <c r="F164" t="str">
        <v>Environmental Economics</v>
      </c>
      <c r="G164" s="1" t="d">
        <v>2025-04-09T23:59:08.000Z</v>
      </c>
      <c r="H164" s="1" t="d">
        <v>2025-12-04T23:59:08.000Z</v>
      </c>
      <c r="I164" t="str">
        <v/>
      </c>
      <c r="J164" t="str">
        <v/>
      </c>
      <c r="K164" t="str">
        <v/>
      </c>
    </row>
    <row r="165">
      <c r="A165" t="str">
        <v>2025-059</v>
      </c>
      <c r="B165" t="str">
        <v xml:space="preserve">Commissioned Research </v>
      </c>
      <c r="C165" t="str">
        <v>The Costs and Benefits of Environmental Regulations in Korea</v>
      </c>
      <c r="D165" t="str">
        <v>Shin, Sang-Cheol</v>
      </c>
      <c r="E165" t="str">
        <v>Environmental Economics</v>
      </c>
      <c r="F165" t="str">
        <v/>
      </c>
      <c r="G165" s="1" t="d">
        <v>2025-04-09T23:59:08.000Z</v>
      </c>
      <c r="H165" s="1" t="d">
        <v>2025-12-07T23:59:08.000Z</v>
      </c>
      <c r="I165" t="str">
        <v/>
      </c>
      <c r="J165" t="str">
        <v/>
      </c>
      <c r="K165" t="str">
        <v/>
      </c>
    </row>
    <row r="166">
      <c r="A166" t="str">
        <v>2025-061</v>
      </c>
      <c r="B166" t="str">
        <v xml:space="preserve">Commissioned Research </v>
      </c>
      <c r="C166" t="str">
        <v>Study on Methodology for Certification of Recycled Battery Materials Production</v>
      </c>
      <c r="D166" t="str">
        <v>Jo, Ji Hye</v>
      </c>
      <c r="E166" t="str">
        <v>Circular Economy</v>
      </c>
      <c r="F166" t="str">
        <v/>
      </c>
      <c r="G166" s="1" t="d">
        <v>2025-04-13T23:59:08.000Z</v>
      </c>
      <c r="H166" s="1" t="d">
        <v>2026-01-07T23:59:08.000Z</v>
      </c>
      <c r="I166" t="str">
        <v/>
      </c>
      <c r="J166" t="str">
        <v/>
      </c>
      <c r="K166" t="str">
        <v/>
      </c>
    </row>
    <row r="167">
      <c r="A167" t="str">
        <v>2025-062</v>
      </c>
      <c r="B167" t="str">
        <v xml:space="preserve">Commissioned Research </v>
      </c>
      <c r="C167" t="str">
        <v>Research for the Formulation of the 4th Basic Plan for Conservation of Natural Environment (2026–2035)</v>
      </c>
      <c r="D167" t="str">
        <v>Hong, Hyunjung</v>
      </c>
      <c r="E167" t="str">
        <v>Ecology</v>
      </c>
      <c r="F167" t="str">
        <v>Land and Urban Environment</v>
      </c>
      <c r="G167" s="1" t="d">
        <v>2025-04-14T23:59:08.000Z</v>
      </c>
      <c r="H167" s="1" t="d">
        <v>2026-02-07T23:59:08.000Z</v>
      </c>
      <c r="I167" t="str">
        <v/>
      </c>
      <c r="J167" t="str">
        <v/>
      </c>
      <c r="K167" t="str">
        <v/>
      </c>
    </row>
    <row r="168">
      <c r="A168" t="str">
        <v>2025-063</v>
      </c>
      <c r="B168" t="str">
        <v xml:space="preserve">Commissioned Research </v>
      </c>
      <c r="C168" t="str">
        <v>Developing a Smart Construction Noise Management System</v>
      </c>
      <c r="D168" t="str">
        <v>Lee, Byungkwon</v>
      </c>
      <c r="E168" t="str">
        <v>Socio-Environmental Interface</v>
      </c>
      <c r="F168" t="str">
        <v>AI and Environmental Informatics</v>
      </c>
      <c r="G168" s="1" t="d">
        <v>2025-04-16T23:59:08.000Z</v>
      </c>
      <c r="H168" s="1" t="d">
        <v>2025-12-11T23:59:08.000Z</v>
      </c>
      <c r="I168" t="str">
        <v/>
      </c>
      <c r="J168" t="str">
        <v/>
      </c>
      <c r="K168" t="str">
        <v/>
      </c>
    </row>
    <row r="169">
      <c r="A169" t="str">
        <v>2025-065</v>
      </c>
      <c r="B169" t="str">
        <v xml:space="preserve">Commissioned Research </v>
      </c>
      <c r="C169" t="str">
        <v>Midterm Evaluation and Improvement Strategies for Korean Children's Environment and Health Study (ko-CHENs)</v>
      </c>
      <c r="D169" t="str">
        <v xml:space="preserve">Jung, Dawoon </v>
      </c>
      <c r="E169" t="str">
        <v>Environmental Health</v>
      </c>
      <c r="F169" t="str">
        <v>Socio-Environmental Interface</v>
      </c>
      <c r="G169" s="1" t="d">
        <v>2025-04-17T23:59:08.000Z</v>
      </c>
      <c r="H169" s="1" t="d">
        <v>2026-02-11T23:59:08.000Z</v>
      </c>
      <c r="I169" t="str">
        <v/>
      </c>
      <c r="J169" t="str">
        <v/>
      </c>
      <c r="K169" t="str">
        <v/>
      </c>
    </row>
    <row r="170">
      <c r="A170" t="str">
        <v>2025-066</v>
      </c>
      <c r="B170" t="str">
        <v xml:space="preserve">Commissioned Research </v>
      </c>
      <c r="C170" t="str">
        <v>Evaluation of the 2024 Performance of the Air Quality Action Plans in Four Air Control Zones</v>
      </c>
      <c r="D170" t="str">
        <v>Choi, Ki-Chul</v>
      </c>
      <c r="E170" t="str">
        <v>Atmospheric Environment</v>
      </c>
      <c r="F170" t="str">
        <v/>
      </c>
      <c r="G170" s="1" t="d">
        <v>2025-04-22T23:59:08.000Z</v>
      </c>
      <c r="H170" s="1" t="d">
        <v>2025-12-09T23:59:08.000Z</v>
      </c>
      <c r="I170" t="str">
        <v/>
      </c>
      <c r="J170" t="str">
        <v/>
      </c>
      <c r="K170" t="str">
        <v/>
      </c>
    </row>
    <row r="171">
      <c r="A171" t="str">
        <v>2025-067</v>
      </c>
      <c r="B171" t="str">
        <v xml:space="preserve">Commissioned Research </v>
      </c>
      <c r="C171" t="str">
        <v>Developing a Support Framework for Health Impact Assessment Implementation</v>
      </c>
      <c r="D171" t="str">
        <v>Ha, Jongsik</v>
      </c>
      <c r="E171" t="str">
        <v>Environmental Assessment</v>
      </c>
      <c r="F171" t="str">
        <v>Environmental Health</v>
      </c>
      <c r="G171" s="1" t="d">
        <v>2025-04-22T23:59:08.000Z</v>
      </c>
      <c r="H171" s="1" t="d">
        <v>2025-11-29T23:59:08.000Z</v>
      </c>
      <c r="I171" t="str">
        <v/>
      </c>
      <c r="J171" t="str">
        <v/>
      </c>
      <c r="K171" t="str">
        <v/>
      </c>
    </row>
    <row r="172">
      <c r="A172" t="str">
        <v>2025-068</v>
      </c>
      <c r="B172" t="str">
        <v xml:space="preserve">Commissioned Research </v>
      </c>
      <c r="C172" t="str">
        <v>Development of a Medium- to Long-Term Management Strategy for Waste in Rivers and Estuaries</v>
      </c>
      <c r="D172" t="str">
        <v>Kim, Yeonjoong</v>
      </c>
      <c r="E172" t="str">
        <v>Water Management</v>
      </c>
      <c r="F172" t="str">
        <v>Circular Economy</v>
      </c>
      <c r="G172" s="1" t="d">
        <v>2025-04-22T23:59:08.000Z</v>
      </c>
      <c r="H172" s="1" t="d">
        <v>2025-11-17T23:59:08.000Z</v>
      </c>
      <c r="I172" t="str">
        <v/>
      </c>
      <c r="J172" t="str">
        <v/>
      </c>
      <c r="K172" t="str">
        <v/>
      </c>
    </row>
    <row r="173">
      <c r="A173" t="str">
        <v>2025-069</v>
      </c>
      <c r="B173" t="str">
        <v xml:space="preserve">Commissioned Research </v>
      </c>
      <c r="C173" t="str">
        <v>Revising Subordinate Legislation of the Clean Air Conservation Act</v>
      </c>
      <c r="D173" t="str">
        <v>Gong, Sungyong</v>
      </c>
      <c r="E173" t="str">
        <v>Atmospheric Environment</v>
      </c>
      <c r="F173" t="str">
        <v/>
      </c>
      <c r="G173" s="1" t="d">
        <v>2025-04-24T23:59:08.000Z</v>
      </c>
      <c r="H173" s="1" t="d">
        <v>2025-11-20T23:59:08.000Z</v>
      </c>
      <c r="I173" t="str">
        <v/>
      </c>
      <c r="J173" t="str">
        <v/>
      </c>
      <c r="K173" t="str">
        <v/>
      </c>
    </row>
    <row r="174">
      <c r="A174" t="str">
        <v>2025-070</v>
      </c>
      <c r="B174" t="str">
        <v xml:space="preserve">Commissioned Research </v>
      </c>
      <c r="C174" t="str">
        <v>Study for Revising the 5th Comprehensive National Environmental Plan (Phase 2)</v>
      </c>
      <c r="D174" t="str">
        <v>Choi, Hee-Sun and Park, Chang Sug</v>
      </c>
      <c r="E174" t="str">
        <v>Land and Urban Environment</v>
      </c>
      <c r="F174" t="str">
        <v/>
      </c>
      <c r="G174" s="1" t="d">
        <v>2025-04-28T23:59:08.000Z</v>
      </c>
      <c r="H174" s="1" t="d">
        <v>2026-03-30T23:59:08.000Z</v>
      </c>
      <c r="I174" t="str">
        <v/>
      </c>
      <c r="J174" t="str">
        <v/>
      </c>
      <c r="K174" t="str">
        <v/>
      </c>
    </row>
    <row r="175">
      <c r="A175" t="str">
        <v>RI2025-01</v>
      </c>
      <c r="B175" t="str">
        <v>General Project</v>
      </c>
      <c r="C175" t="str">
        <v>Developing an AI-Enhanced Environmental Policy Data Hub</v>
      </c>
      <c r="D175" t="str">
        <v>Choi, Kwanghun</v>
      </c>
      <c r="E175" t="str">
        <v>AI and Environmental Informatics</v>
      </c>
      <c r="F175" t="str">
        <v/>
      </c>
      <c r="G175" s="1" t="d">
        <v>2025-04-30T23:59:08.000Z</v>
      </c>
      <c r="H175" s="1" t="d">
        <v>2026-04-29T23:59:08.000Z</v>
      </c>
      <c r="I175" t="str">
        <v/>
      </c>
      <c r="J175" t="str">
        <v/>
      </c>
      <c r="K175" t="str">
        <v/>
      </c>
    </row>
    <row r="176">
      <c r="A176" t="str">
        <v>RI2025-02</v>
      </c>
      <c r="B176" t="str">
        <v>General Project</v>
      </c>
      <c r="C176" t="str">
        <v>KEI Global Cooperation Enhancement and Forum Operations</v>
      </c>
      <c r="D176" t="str">
        <v>Park, Jun Hyun</v>
      </c>
      <c r="E176" t="str">
        <v>International Environmental Collaboration</v>
      </c>
      <c r="F176" t="str">
        <v/>
      </c>
      <c r="G176" s="1" t="d">
        <v>2025-04-30T23:59:08.000Z</v>
      </c>
      <c r="H176" s="1" t="d">
        <v>2026-04-29T23:59:08.000Z</v>
      </c>
      <c r="I176" t="str">
        <v/>
      </c>
      <c r="J176" t="str">
        <v/>
      </c>
      <c r="K176" t="str">
        <v/>
      </c>
    </row>
    <row r="177">
      <c r="A177" t="str">
        <v>RR2025-05</v>
      </c>
      <c r="B177" t="str">
        <v>General Project</v>
      </c>
      <c r="C177" t="str">
        <v>Feasibility Assessment Framework for the Mitigation Translocation of Legally Protected Plants</v>
      </c>
      <c r="D177" t="str">
        <v xml:space="preserve">Heo, Namjoo </v>
      </c>
      <c r="E177" t="str">
        <v>Environmental Assessment</v>
      </c>
      <c r="F177" t="str">
        <v>Ecology</v>
      </c>
      <c r="G177" s="1" t="d">
        <v>2025-04-30T23:59:08.000Z</v>
      </c>
      <c r="H177" s="1" t="d">
        <v>2025-10-30T23:59:08.000Z</v>
      </c>
      <c r="I177" t="str">
        <v/>
      </c>
      <c r="J177" t="str">
        <v/>
      </c>
      <c r="K177" t="str">
        <v/>
      </c>
    </row>
    <row r="178">
      <c r="A178" t="str">
        <v>RR2025-06</v>
      </c>
      <c r="B178" t="str">
        <v>General Project</v>
      </c>
      <c r="C178" t="str">
        <v>Development and Application of an Indicator System for Comprehensive Environmental Status Assessment</v>
      </c>
      <c r="D178" t="str">
        <v>Kim, Jongho</v>
      </c>
      <c r="E178" t="str">
        <v>Sustainable Development</v>
      </c>
      <c r="F178" t="str">
        <v>AI and Environmental Informatics</v>
      </c>
      <c r="G178" s="1" t="d">
        <v>2025-04-30T23:59:08.000Z</v>
      </c>
      <c r="H178" s="1" t="d">
        <v>2026-04-29T23:59:08.000Z</v>
      </c>
      <c r="I178" t="str">
        <v/>
      </c>
      <c r="J178" t="str">
        <v/>
      </c>
      <c r="K178" t="str">
        <v/>
      </c>
    </row>
    <row r="179">
      <c r="A179" t="str">
        <v>RR2025-07</v>
      </c>
      <c r="B179" t="str">
        <v>General Project</v>
      </c>
      <c r="C179" t="str">
        <v>Estimating Social Cost of Carbon by Using GIVE Model</v>
      </c>
      <c r="D179" t="str">
        <v xml:space="preserve">Kim, Hyun-gyu </v>
      </c>
      <c r="E179" t="str">
        <v>Environmental Economics</v>
      </c>
      <c r="F179" t="str">
        <v>Carbon Neutrality and Energy</v>
      </c>
      <c r="G179" s="1" t="d">
        <v>2025-04-30T23:59:08.000Z</v>
      </c>
      <c r="H179" s="1" t="d">
        <v>2026-04-29T23:59:08.000Z</v>
      </c>
      <c r="I179" t="str">
        <v/>
      </c>
      <c r="J179" t="str">
        <v/>
      </c>
      <c r="K179" t="str">
        <v/>
      </c>
    </row>
    <row r="180">
      <c r="A180" t="str">
        <v>RR2025-08</v>
      </c>
      <c r="B180" t="str">
        <v>General Project</v>
      </c>
      <c r="C180" t="str">
        <v>Strategies for Integrating Climate Measures into Spatial Planning</v>
      </c>
      <c r="D180" t="str">
        <v xml:space="preserve">Song, Jiyoon </v>
      </c>
      <c r="E180" t="str">
        <v>Land and Urban Environment</v>
      </c>
      <c r="F180" t="str">
        <v>Climate Adaptation</v>
      </c>
      <c r="G180" s="1" t="d">
        <v>2025-04-30T23:59:08.000Z</v>
      </c>
      <c r="H180" s="1" t="d">
        <v>2026-04-29T23:59:08.000Z</v>
      </c>
      <c r="I180" t="str">
        <v/>
      </c>
      <c r="J180" t="str">
        <v/>
      </c>
      <c r="K180" t="str">
        <v/>
      </c>
    </row>
    <row r="181">
      <c r="A181" t="str">
        <v>RR2025-09</v>
      </c>
      <c r="B181" t="str">
        <v>General Project</v>
      </c>
      <c r="C181" t="str">
        <v>A Study on Improving Integrated Management Policy for Outdoor Compost in Riparian Zones</v>
      </c>
      <c r="D181" t="str">
        <v xml:space="preserve">Rhee, Youngjoon </v>
      </c>
      <c r="E181" t="str">
        <v>Water Management</v>
      </c>
      <c r="F181" t="str">
        <v>Environmental Assessment</v>
      </c>
      <c r="G181" s="1" t="d">
        <v>2025-04-30T23:59:08.000Z</v>
      </c>
      <c r="H181" s="1" t="d">
        <v>2026-04-29T23:59:08.000Z</v>
      </c>
      <c r="I181" t="str">
        <v/>
      </c>
      <c r="J181" t="str">
        <v/>
      </c>
      <c r="K181" t="str">
        <v/>
      </c>
    </row>
    <row r="182">
      <c r="A182" t="str">
        <v>RR2025-10</v>
      </c>
      <c r="B182" t="str">
        <v>General Project</v>
      </c>
      <c r="C182" t="str">
        <v>Legal and Institutional Reform for Integrated Estuary Management</v>
      </c>
      <c r="D182" t="str">
        <v>Kim, Choong-ki</v>
      </c>
      <c r="E182" t="str">
        <v>Marine Environment</v>
      </c>
      <c r="F182" t="str">
        <v>Land and Urban Environment</v>
      </c>
      <c r="G182" s="1" t="d">
        <v>2025-04-30T23:59:08.000Z</v>
      </c>
      <c r="H182" s="1" t="d">
        <v>2026-04-29T23:59:08.000Z</v>
      </c>
      <c r="I182" t="str">
        <v/>
      </c>
      <c r="J182" t="str">
        <v/>
      </c>
      <c r="K182" t="str">
        <v/>
      </c>
    </row>
    <row r="183">
      <c r="A183" t="str">
        <v>2025-073</v>
      </c>
      <c r="B183" t="str">
        <v xml:space="preserve">Commissioned Research </v>
      </c>
      <c r="C183" t="str">
        <v>Study on Reviewing and Improving the Second Basic Plan for Soil Conservation</v>
      </c>
      <c r="D183" t="str">
        <v>Lee, Jeongho</v>
      </c>
      <c r="E183" t="str">
        <v>Land and Urban Environment</v>
      </c>
      <c r="F183" t="str">
        <v/>
      </c>
      <c r="G183" s="1" t="d">
        <v>2025-05-11T23:59:08.000Z</v>
      </c>
      <c r="H183" s="1" t="d">
        <v>2025-12-09T23:59:08.000Z</v>
      </c>
      <c r="I183" t="str">
        <v/>
      </c>
      <c r="J183" t="str">
        <v/>
      </c>
      <c r="K183" t="str">
        <v/>
      </c>
    </row>
    <row r="184">
      <c r="A184" t="str">
        <v>2025-074</v>
      </c>
      <c r="B184" t="str">
        <v xml:space="preserve">Commissioned Research </v>
      </c>
      <c r="C184" t="str">
        <v>Developing Wastewater Utilization Strategies for Environmental Safety and Proper Management</v>
      </c>
      <c r="D184" t="str">
        <v>Han, Daeho</v>
      </c>
      <c r="E184" t="str">
        <v>Water Management</v>
      </c>
      <c r="F184" t="str">
        <v>Environmental Health</v>
      </c>
      <c r="G184" s="1" t="d">
        <v>2025-05-11T23:59:08.000Z</v>
      </c>
      <c r="H184" s="1" t="d">
        <v>2025-11-27T23:59:08.000Z</v>
      </c>
      <c r="I184" t="str">
        <v/>
      </c>
      <c r="J184" t="str">
        <v/>
      </c>
      <c r="K184" t="str">
        <v/>
      </c>
    </row>
    <row r="185">
      <c r="A185" t="str">
        <v>2025-075</v>
      </c>
      <c r="B185" t="str">
        <v xml:space="preserve">Commissioned Research </v>
      </c>
      <c r="C185" t="str">
        <v>Promoting International Cooperation in the Water Sector (II)</v>
      </c>
      <c r="D185" t="str">
        <v>Kim, Ikjae</v>
      </c>
      <c r="E185" t="str">
        <v>Water Management</v>
      </c>
      <c r="F185" t="str">
        <v>International Environmental Collaboration</v>
      </c>
      <c r="G185" s="1" t="d">
        <v>2025-05-12T23:59:08.000Z</v>
      </c>
      <c r="H185" s="1" t="d">
        <v>2026-05-11T23:59:08.000Z</v>
      </c>
      <c r="I185" t="str">
        <v/>
      </c>
      <c r="J185" t="str">
        <v/>
      </c>
      <c r="K185" t="str">
        <v/>
      </c>
    </row>
    <row r="186">
      <c r="A186" t="str">
        <v>2025-076</v>
      </c>
      <c r="B186" t="str">
        <v xml:space="preserve">Commissioned Research </v>
      </c>
      <c r="C186" t="str">
        <v>Study on Subordinate Legislation, Administrative Rules, and Regulatory Analysis for the Amendment of the Natural Environment Conservation Act</v>
      </c>
      <c r="D186" t="str">
        <v>Son, Seungwoo</v>
      </c>
      <c r="E186" t="str">
        <v>Land and Urban Environment</v>
      </c>
      <c r="F186" t="str">
        <v>Ecology</v>
      </c>
      <c r="G186" s="1" t="d">
        <v>2025-05-12T23:59:08.000Z</v>
      </c>
      <c r="H186" s="1" t="d">
        <v>2026-07-07T23:59:08.000Z</v>
      </c>
      <c r="I186" t="str">
        <v/>
      </c>
      <c r="J186" t="str">
        <v/>
      </c>
      <c r="K186" t="str">
        <v/>
      </c>
    </row>
    <row r="187">
      <c r="A187" t="str">
        <v>2025-077</v>
      </c>
      <c r="B187" t="str">
        <v xml:space="preserve">Commissioned Research </v>
      </c>
      <c r="C187" t="str">
        <v>2025 Environmental Tax and Revenue Account Statistics Compilation (Using 2023 Data)</v>
      </c>
      <c r="D187" t="str">
        <v>Kang, Sungwon</v>
      </c>
      <c r="E187" t="str">
        <v>Environmental Economics</v>
      </c>
      <c r="F187" t="str">
        <v/>
      </c>
      <c r="G187" s="1" t="d">
        <v>2025-05-12T23:59:08.000Z</v>
      </c>
      <c r="H187" s="1" t="d">
        <v>2026-05-11T23:59:08.000Z</v>
      </c>
      <c r="I187" t="str">
        <v/>
      </c>
      <c r="J187" t="str">
        <v/>
      </c>
      <c r="K187" t="str">
        <v/>
      </c>
    </row>
    <row r="188">
      <c r="A188" t="str">
        <v>2025-078</v>
      </c>
      <c r="B188" t="str">
        <v xml:space="preserve">Commissioned Research </v>
      </c>
      <c r="C188" t="str">
        <v>Study on Establishing a UNESCO Science-Guided National Water Assessment System (I)</v>
      </c>
      <c r="D188" t="str">
        <v>Kim, Ikjae</v>
      </c>
      <c r="E188" t="str">
        <v>Water Management</v>
      </c>
      <c r="F188" t="str">
        <v>International Environmental Collaboration</v>
      </c>
      <c r="G188" s="1" t="d">
        <v>2025-05-12T23:59:08.000Z</v>
      </c>
      <c r="H188" s="1" t="d">
        <v>2026-05-11T23:59:08.000Z</v>
      </c>
      <c r="I188" t="str">
        <v/>
      </c>
      <c r="J188" t="str">
        <v/>
      </c>
      <c r="K188" t="str">
        <v/>
      </c>
    </row>
    <row r="189">
      <c r="A189" t="str">
        <v>2025-081</v>
      </c>
      <c r="B189" t="str">
        <v xml:space="preserve">Commissioned Research </v>
      </c>
      <c r="C189" t="str">
        <v>Developing an Implementation Plan for the 2030 Roadmap for Expanding National Protected Areas</v>
      </c>
      <c r="D189" t="str">
        <v>Son, Seungwoo</v>
      </c>
      <c r="E189" t="str">
        <v>Land and Urban Environment</v>
      </c>
      <c r="F189" t="str">
        <v>Ecology</v>
      </c>
      <c r="G189" s="1" t="d">
        <v>2025-05-15T23:59:08.000Z</v>
      </c>
      <c r="H189" s="1" t="d">
        <v>2026-05-14T23:59:08.000Z</v>
      </c>
      <c r="I189" t="str">
        <v/>
      </c>
      <c r="J189" t="str">
        <v/>
      </c>
      <c r="K189" t="str">
        <v/>
      </c>
    </row>
    <row r="190">
      <c r="A190" t="str">
        <v>2025-080</v>
      </c>
      <c r="B190" t="str">
        <v xml:space="preserve">Commissioned Research </v>
      </c>
      <c r="C190" t="str">
        <v>Establishing the First Master Plan for Circular Economy (Phase 1)</v>
      </c>
      <c r="D190" t="str">
        <v>Jo, Ji Hye</v>
      </c>
      <c r="E190" t="str">
        <v>Circular Economy</v>
      </c>
      <c r="F190" t="str">
        <v>Sustainable Development</v>
      </c>
      <c r="G190" s="1" t="d">
        <v>2025-05-18T23:59:08.000Z</v>
      </c>
      <c r="H190" s="1" t="d">
        <v>2026-01-12T23:59:08.000Z</v>
      </c>
      <c r="I190" t="str">
        <v/>
      </c>
      <c r="J190" t="str">
        <v/>
      </c>
      <c r="K190" t="str">
        <v/>
      </c>
    </row>
    <row r="191">
      <c r="A191" t="str">
        <v>2025-082</v>
      </c>
      <c r="B191" t="str">
        <v xml:space="preserve">Commissioned Research </v>
      </c>
      <c r="C191" t="str">
        <v>Strategies to Respond to Discussions at the 2025 OECD Carbon Reduction Forum (IFCMA) and the Climate Club</v>
      </c>
      <c r="D191" t="str">
        <v xml:space="preserve">Moon, Jongwoo </v>
      </c>
      <c r="E191" t="str">
        <v>Carbon Neutrality and Energy</v>
      </c>
      <c r="F191" t="str">
        <v>International Environmental Collaboration</v>
      </c>
      <c r="G191" s="1" t="d">
        <v>2025-05-22T23:59:08.000Z</v>
      </c>
      <c r="H191" s="1" t="d">
        <v>2025-12-30T23:59:08.000Z</v>
      </c>
      <c r="I191" t="str">
        <v/>
      </c>
      <c r="J191" t="str">
        <v/>
      </c>
      <c r="K191" t="str">
        <v/>
      </c>
    </row>
    <row r="192">
      <c r="A192" t="str">
        <v>2025-083</v>
      </c>
      <c r="B192" t="str">
        <v xml:space="preserve">Commissioned Research </v>
      </c>
      <c r="C192" t="str">
        <v>Evaluation of the 2024 Han River Basin Community Support Project</v>
      </c>
      <c r="D192" t="str">
        <v>Jeon, Dongjin</v>
      </c>
      <c r="E192" t="str">
        <v>Water Management</v>
      </c>
      <c r="F192" t="str">
        <v>Socio-Environmental Interface</v>
      </c>
      <c r="G192" s="1" t="d">
        <v>2025-05-25T23:59:08.000Z</v>
      </c>
      <c r="H192" s="1" t="d">
        <v>2025-10-21T23:59:08.000Z</v>
      </c>
      <c r="I192" t="str">
        <v/>
      </c>
      <c r="J192" t="str">
        <v/>
      </c>
      <c r="K192" t="str">
        <v/>
      </c>
    </row>
    <row r="193">
      <c r="A193" t="str">
        <v>2025-084</v>
      </c>
      <c r="B193" t="str">
        <v xml:space="preserve">Commissioned Research </v>
      </c>
      <c r="C193" t="str">
        <v>An Indicators Analysis Study for “SDG in the Republic of Korea: Progress Report 2026”</v>
      </c>
      <c r="D193" t="str">
        <v>Chung, Woo Hyun</v>
      </c>
      <c r="E193" t="str">
        <v>Sustainable Development</v>
      </c>
      <c r="F193" t="str">
        <v/>
      </c>
      <c r="G193" s="1" t="d">
        <v>2025-05-25T23:59:08.000Z</v>
      </c>
      <c r="H193" s="1" t="d">
        <v>2025-11-29T23:59:08.000Z</v>
      </c>
      <c r="I193" t="str">
        <v/>
      </c>
      <c r="J193" t="str">
        <v/>
      </c>
      <c r="K193" t="str">
        <v/>
      </c>
    </row>
    <row r="194">
      <c r="A194" t="str">
        <v>2025-085</v>
      </c>
      <c r="B194" t="str">
        <v xml:space="preserve">Commissioned Research </v>
      </c>
      <c r="C194" t="str">
        <v>2024 Performance Evaluation of Eco-friendly Clean Projects</v>
      </c>
      <c r="D194" t="str">
        <v xml:space="preserve">Lee, Seungsoo </v>
      </c>
      <c r="E194" t="str">
        <v>Environmental Economics</v>
      </c>
      <c r="F194" t="str">
        <v/>
      </c>
      <c r="G194" s="1" t="d">
        <v>2025-05-28T23:59:08.000Z</v>
      </c>
      <c r="H194" s="1" t="d">
        <v>2025-10-29T23:59:08.000Z</v>
      </c>
      <c r="I194" t="str">
        <v/>
      </c>
      <c r="J194" t="str">
        <v/>
      </c>
      <c r="K194" t="str">
        <v/>
      </c>
    </row>
    <row r="195">
      <c r="A195" t="str">
        <v>2025-088(R)</v>
      </c>
      <c r="B195" t="str">
        <v xml:space="preserve">Commissioned Research </v>
      </c>
      <c r="C195" t="str">
        <v>Flood Risk Assessment for Underground Spaces and Development of Flood Mitigation Facilities Tailored to Korea (Year 1)</v>
      </c>
      <c r="D195" t="str">
        <v xml:space="preserve">Lee, Seungsoo </v>
      </c>
      <c r="E195" t="str">
        <v>Water Management</v>
      </c>
      <c r="F195" t="str">
        <v/>
      </c>
      <c r="G195" s="1" t="d">
        <v>2025-05-31T23:59:08.000Z</v>
      </c>
      <c r="H195" s="1" t="d">
        <v>2025-12-30T23:59:08.000Z</v>
      </c>
      <c r="I195" t="str">
        <v/>
      </c>
      <c r="J195" t="str">
        <v/>
      </c>
      <c r="K195" t="str">
        <v/>
      </c>
    </row>
    <row r="196">
      <c r="A196" t="str">
        <v>BA2025-020-04</v>
      </c>
      <c r="B196" t="str">
        <v>Working Paper</v>
      </c>
      <c r="C196" t="str">
        <v>Application of Mitigation Measures for Freshwater Ecosystem in Environmental Impact Assessment</v>
      </c>
      <c r="D196" t="str">
        <v>Kim, Hyo Gyeom</v>
      </c>
      <c r="E196" t="str">
        <v>Environmental Assessment</v>
      </c>
      <c r="F196" t="str">
        <v>Ecology</v>
      </c>
      <c r="G196" s="1" t="d">
        <v>2025-06-01T23:59:08.000Z</v>
      </c>
      <c r="H196" s="1" t="d">
        <v>2025-11-30T23:59:08.000Z</v>
      </c>
      <c r="I196" t="str">
        <v/>
      </c>
      <c r="J196" t="str">
        <v/>
      </c>
      <c r="K196" t="str">
        <v/>
      </c>
    </row>
    <row r="197">
      <c r="A197" t="str">
        <v>BA2025-020-05</v>
      </c>
      <c r="B197" t="str">
        <v>Working Paper</v>
      </c>
      <c r="C197" t="str">
        <v>Prospects and Emerging Trends in AI-Driven Biodiversity Survey Technologies</v>
      </c>
      <c r="D197" t="str">
        <v>Choi, Yuyoung</v>
      </c>
      <c r="E197" t="str">
        <v>AI and Environmental Informatics</v>
      </c>
      <c r="F197" t="str">
        <v>Ecology</v>
      </c>
      <c r="G197" s="1" t="d">
        <v>2025-06-01T23:59:08.000Z</v>
      </c>
      <c r="H197" s="1" t="d">
        <v>2025-11-30T23:59:08.000Z</v>
      </c>
      <c r="I197" t="str">
        <v/>
      </c>
      <c r="J197" t="str">
        <v/>
      </c>
      <c r="K197" t="str">
        <v/>
      </c>
    </row>
    <row r="198">
      <c r="A198" t="str">
        <v>2025-086</v>
      </c>
      <c r="B198" t="str">
        <v xml:space="preserve">Commissioned Research </v>
      </c>
      <c r="C198" t="str">
        <v>Advancing the Integrated Management System for Soil and Groundwater Pollution (I)</v>
      </c>
      <c r="D198" t="str">
        <v>Hyun, Yunjung</v>
      </c>
      <c r="E198" t="str">
        <v>Land and Urban Environment</v>
      </c>
      <c r="F198" t="str">
        <v>Water Management</v>
      </c>
      <c r="G198" s="1" t="d">
        <v>2025-06-11T23:59:08.000Z</v>
      </c>
      <c r="H198" s="1" t="d">
        <v>2026-06-10T23:59:08.000Z</v>
      </c>
      <c r="I198" t="str">
        <v/>
      </c>
      <c r="J198" t="str">
        <v/>
      </c>
      <c r="K198" t="str">
        <v/>
      </c>
    </row>
    <row r="199">
      <c r="A199" t="str">
        <v>2025-087</v>
      </c>
      <c r="B199" t="str">
        <v xml:space="preserve">Commissioned Research </v>
      </c>
      <c r="C199" t="str">
        <v>Developing Ecosystem Health Indicators for National Park Valuation</v>
      </c>
      <c r="D199" t="str">
        <v>Lee, Who-Seung</v>
      </c>
      <c r="E199" t="str">
        <v>Ecology</v>
      </c>
      <c r="F199" t="str">
        <v>Environmental Economics</v>
      </c>
      <c r="G199" s="1" t="d">
        <v>2025-06-12T23:59:08.000Z</v>
      </c>
      <c r="H199" s="1" t="d">
        <v>2026-02-10T23:59:08.000Z</v>
      </c>
      <c r="I199" t="str">
        <v/>
      </c>
      <c r="J199" t="str">
        <v/>
      </c>
      <c r="K199" t="str">
        <v/>
      </c>
    </row>
    <row r="200">
      <c r="A200" t="str">
        <v>2025-093</v>
      </c>
      <c r="B200" t="str">
        <v xml:space="preserve">Commissioned Research </v>
      </c>
      <c r="C200" t="str">
        <v>Comparative Analysis of Climate and Clean Energy Transition Strategies in the US and China</v>
      </c>
      <c r="D200" t="str">
        <v>Kang, Taek Goo</v>
      </c>
      <c r="E200" t="str">
        <v>Carbon Neutrality and Energy</v>
      </c>
      <c r="F200" t="str">
        <v>International Environmental Collaboration</v>
      </c>
      <c r="G200" s="1" t="d">
        <v>2025-06-16T23:59:08.000Z</v>
      </c>
      <c r="H200" s="1" t="d">
        <v>2025-11-19T23:59:08.000Z</v>
      </c>
      <c r="I200" t="str">
        <v/>
      </c>
      <c r="J200" t="str">
        <v/>
      </c>
      <c r="K200" t="str">
        <v/>
      </c>
    </row>
    <row r="201">
      <c r="A201" t="str">
        <v>2025-089</v>
      </c>
      <c r="B201" t="str">
        <v xml:space="preserve">Commissioned Research </v>
      </c>
      <c r="C201" t="str">
        <v>Developing a Roadmap to Promote the Installation of Detention and Retention Facilities</v>
      </c>
      <c r="D201" t="str">
        <v>Jeon, Dongjin</v>
      </c>
      <c r="E201" t="str">
        <v>Water Management</v>
      </c>
      <c r="F201" t="str">
        <v/>
      </c>
      <c r="G201" s="1" t="d">
        <v>2025-06-22T23:59:08.000Z</v>
      </c>
      <c r="H201" s="1" t="d">
        <v>2026-02-17T23:59:08.000Z</v>
      </c>
      <c r="I201" t="str">
        <v/>
      </c>
      <c r="J201" t="str">
        <v/>
      </c>
      <c r="K201" t="str">
        <v/>
      </c>
    </row>
    <row r="202">
      <c r="A202" t="str">
        <v>2025-090</v>
      </c>
      <c r="B202" t="str">
        <v xml:space="preserve">Commissioned Research </v>
      </c>
      <c r="C202" t="str">
        <v>Improving the Management System for On-site Food Waste Treatment Equipment</v>
      </c>
      <c r="D202" t="str">
        <v xml:space="preserve">Ju, Munsol </v>
      </c>
      <c r="E202" t="str">
        <v>Circular Economy</v>
      </c>
      <c r="F202" t="str">
        <v/>
      </c>
      <c r="G202" s="1" t="d">
        <v>2025-06-26T23:59:08.000Z</v>
      </c>
      <c r="H202" s="1" t="d">
        <v>2026-05-20T23:59:08.000Z</v>
      </c>
      <c r="I202" t="str">
        <v/>
      </c>
      <c r="J202" t="str">
        <v/>
      </c>
      <c r="K202" t="str">
        <v/>
      </c>
    </row>
    <row r="203">
      <c r="A203" t="str">
        <v>2025-091</v>
      </c>
      <c r="B203" t="str">
        <v xml:space="preserve">Commissioned Research </v>
      </c>
      <c r="C203" t="str">
        <v>Developing Improvement Measures for Industrial Wastewater Management (II) and Guidelines for Public Wastewater Treatment Facility Planning</v>
      </c>
      <c r="D203" t="str">
        <v>Han, Daeho</v>
      </c>
      <c r="E203" t="str">
        <v>Water Management</v>
      </c>
      <c r="F203" t="str">
        <v/>
      </c>
      <c r="G203" s="1" t="d">
        <v>2025-06-26T23:59:08.000Z</v>
      </c>
      <c r="H203" s="1" t="d">
        <v>2026-01-30T23:59:08.000Z</v>
      </c>
      <c r="I203" t="str">
        <v/>
      </c>
      <c r="J203" t="str">
        <v/>
      </c>
      <c r="K203" t="str">
        <v/>
      </c>
    </row>
    <row r="204">
      <c r="A204" t="str">
        <v>2025-092</v>
      </c>
      <c r="B204" t="str">
        <v xml:space="preserve">Commissioned Research </v>
      </c>
      <c r="C204" t="str">
        <v>Promoting Private Sector Participation in Natural Environment Restoration Projects and Ecosystem Services Payment Contracts</v>
      </c>
      <c r="D204" t="str">
        <v>Son, Seungwoo</v>
      </c>
      <c r="E204" t="str">
        <v>Ecology</v>
      </c>
      <c r="F204" t="str">
        <v>Socio-Environmental Interface</v>
      </c>
      <c r="G204" s="1" t="d">
        <v>2025-06-29T23:59:08.000Z</v>
      </c>
      <c r="H204" s="1" t="d">
        <v>2026-05-05T23:59:08.000Z</v>
      </c>
      <c r="I204" t="str">
        <v/>
      </c>
      <c r="J204" t="str">
        <v/>
      </c>
      <c r="K204" t="str">
        <v/>
      </c>
    </row>
    <row r="205">
      <c r="A205" t="str">
        <v>WO2025-04</v>
      </c>
      <c r="B205" t="str">
        <v>Policy Study</v>
      </c>
      <c r="C205" t="str">
        <v>Establishing a Performance Evaluation System Based on Policy Review for Water Industry Promotion</v>
      </c>
      <c r="D205" t="str">
        <v xml:space="preserve">Oh, Myoungjin </v>
      </c>
      <c r="E205" t="str">
        <v>Water Management</v>
      </c>
      <c r="F205" t="str">
        <v>Environmental Economics</v>
      </c>
      <c r="G205" s="1" t="d">
        <v>2025-06-30T23:59:08.000Z</v>
      </c>
      <c r="H205" s="1" t="d">
        <v>2025-12-30T23:59:08.000Z</v>
      </c>
      <c r="I205" t="str">
        <v/>
      </c>
      <c r="J205" t="str">
        <v/>
      </c>
      <c r="K205" t="str">
        <v/>
      </c>
    </row>
    <row r="206">
      <c r="A206" t="str">
        <v>WO2025-05</v>
      </c>
      <c r="B206" t="str">
        <v>Policy Study</v>
      </c>
      <c r="C206" t="str">
        <v>Introducing a Special Threshold Water Level System to Reduce Flood Damage in Underground Spaces</v>
      </c>
      <c r="D206" t="str">
        <v xml:space="preserve">Lee, Seungsoo </v>
      </c>
      <c r="E206" t="str">
        <v>Water Management</v>
      </c>
      <c r="F206" t="str">
        <v/>
      </c>
      <c r="G206" s="1" t="d">
        <v>2025-06-30T23:59:08.000Z</v>
      </c>
      <c r="H206" s="1" t="d">
        <v>2025-12-30T23:59:08.000Z</v>
      </c>
      <c r="I206" t="str">
        <v/>
      </c>
      <c r="J206" t="str">
        <v/>
      </c>
      <c r="K206" t="str">
        <v/>
      </c>
    </row>
    <row r="207">
      <c r="A207" t="str">
        <v>WO2025-06</v>
      </c>
      <c r="B207" t="str">
        <v>Policy Study</v>
      </c>
      <c r="C207" t="str">
        <v>Enhancing Community Acceptance of Offshore Wind Power through Public-Private Committee Operations</v>
      </c>
      <c r="D207" t="str">
        <v>Kim, Dokyun</v>
      </c>
      <c r="E207" t="str">
        <v>Socio-Environmental Interface</v>
      </c>
      <c r="F207" t="str">
        <v>Carbon Neutrality and Energy</v>
      </c>
      <c r="G207" s="1" t="d">
        <v>2025-06-30T23:59:08.000Z</v>
      </c>
      <c r="H207" s="1" t="d">
        <v>2025-12-30T23:59:08.000Z</v>
      </c>
      <c r="I207" t="str">
        <v/>
      </c>
      <c r="J207" t="str">
        <v/>
      </c>
      <c r="K207" t="str">
        <v/>
      </c>
    </row>
    <row r="208">
      <c r="A208" t="str">
        <v>2025-094</v>
      </c>
      <c r="B208" t="str">
        <v xml:space="preserve">Commissioned Research </v>
      </c>
      <c r="C208" t="str">
        <v>Study on Drivers of Change in GHG Emissions under the ETS</v>
      </c>
      <c r="D208" t="str">
        <v>Lee, Jeongeun</v>
      </c>
      <c r="E208" t="str">
        <v>Carbon Neutrality and Energy</v>
      </c>
      <c r="F208" t="str">
        <v>Environmental Economics</v>
      </c>
      <c r="G208" s="1" t="d">
        <v>2025-07-02T23:59:08.000Z</v>
      </c>
      <c r="H208" s="1" t="d">
        <v>2025-12-28T23:59:08.000Z</v>
      </c>
      <c r="I208" t="str">
        <v/>
      </c>
      <c r="J208" t="str">
        <v/>
      </c>
      <c r="K208" t="str">
        <v/>
      </c>
    </row>
    <row r="209">
      <c r="A209" t="str">
        <v>2025-096</v>
      </c>
      <c r="B209" t="str">
        <v xml:space="preserve">Commissioned Research </v>
      </c>
      <c r="C209" t="str">
        <v>2025 Survey on the Status of Marine Waste</v>
      </c>
      <c r="D209" t="str">
        <v>Kim, Choong-ki</v>
      </c>
      <c r="E209" t="str">
        <v>Marine Environment</v>
      </c>
      <c r="F209" t="str">
        <v/>
      </c>
      <c r="G209" s="1" t="d">
        <v>2025-07-06T23:59:08.000Z</v>
      </c>
      <c r="H209" s="1" t="d">
        <v>2025-12-25T23:59:08.000Z</v>
      </c>
      <c r="I209" t="str">
        <v/>
      </c>
      <c r="J209" t="str">
        <v/>
      </c>
      <c r="K209" t="str">
        <v/>
      </c>
    </row>
    <row r="210">
      <c r="A210" t="str">
        <v>2025-095</v>
      </c>
      <c r="B210" t="str">
        <v xml:space="preserve">Commissioned Research </v>
      </c>
      <c r="C210" t="str">
        <v>2025 Project for Developing Infrastructure to Support the Transition to Green Chemistry in Industry</v>
      </c>
      <c r="D210" t="str">
        <v>Suh, Yang-won</v>
      </c>
      <c r="E210" t="str">
        <v>Circular Economy</v>
      </c>
      <c r="F210" t="str">
        <v>Carbon Neutrality and Energy</v>
      </c>
      <c r="G210" s="1" t="d">
        <v>2025-07-07T23:59:08.000Z</v>
      </c>
      <c r="H210" s="1" t="d">
        <v>2026-05-02T23:59:08.000Z</v>
      </c>
      <c r="I210" t="str">
        <v/>
      </c>
      <c r="J210" t="str">
        <v/>
      </c>
      <c r="K210" t="str">
        <v/>
      </c>
    </row>
    <row r="211">
      <c r="A211" t="str">
        <v>2025-097</v>
      </c>
      <c r="B211" t="str">
        <v xml:space="preserve">Commissioned Research </v>
      </c>
      <c r="C211" t="str">
        <v>Compilation of Environmental Protection Expenditure Accounts for 2024</v>
      </c>
      <c r="D211" t="str">
        <v>Kim, Jongho</v>
      </c>
      <c r="E211" t="str">
        <v>Environmental Economics</v>
      </c>
      <c r="F211" t="str">
        <v>AI and Environmental Informatics</v>
      </c>
      <c r="G211" s="1" t="d">
        <v>2025-07-09T23:59:08.000Z</v>
      </c>
      <c r="H211" s="1" t="d">
        <v>2026-05-04T23:59:08.000Z</v>
      </c>
      <c r="I211" t="str">
        <v/>
      </c>
      <c r="J211" t="str">
        <v/>
      </c>
      <c r="K211" t="str">
        <v/>
      </c>
    </row>
    <row r="212">
      <c r="A212" t="str">
        <v>2025-098</v>
      </c>
      <c r="B212" t="str">
        <v xml:space="preserve">Commissioned Research </v>
      </c>
      <c r="C212" t="str">
        <v>Developing National Genetic Diversity Indicators to Support Implementation of the Global Biodiversity Framework (Year 2)</v>
      </c>
      <c r="D212" t="str">
        <v xml:space="preserve">Koo, Kyung Ah </v>
      </c>
      <c r="E212" t="str">
        <v>Ecology</v>
      </c>
      <c r="F212" t="str">
        <v>International Environmental Collaboration</v>
      </c>
      <c r="G212" s="1" t="d">
        <v>2025-07-13T23:59:08.000Z</v>
      </c>
      <c r="H212" s="1" t="d">
        <v>2026-03-09T23:59:08.000Z</v>
      </c>
      <c r="I212" t="str">
        <v/>
      </c>
      <c r="J212" t="str">
        <v/>
      </c>
      <c r="K212" t="str">
        <v/>
      </c>
    </row>
    <row r="213">
      <c r="A213" t="str">
        <v>2025-099</v>
      </c>
      <c r="B213" t="str">
        <v xml:space="preserve">Commissioned Research </v>
      </c>
      <c r="C213" t="str">
        <v>Development of a Regulatory Framework for Indoor Air Pollutant Designation</v>
      </c>
      <c r="D213" t="str">
        <v xml:space="preserve">Jung, Dawoon </v>
      </c>
      <c r="E213" t="str">
        <v>Environmental Health</v>
      </c>
      <c r="F213" t="str">
        <v/>
      </c>
      <c r="G213" s="1" t="d">
        <v>2025-07-17T23:59:08.000Z</v>
      </c>
      <c r="H213" s="1" t="d">
        <v>2026-04-12T23:59:08.000Z</v>
      </c>
      <c r="I213" t="str">
        <v/>
      </c>
      <c r="J213" t="str">
        <v/>
      </c>
      <c r="K213" t="str">
        <v/>
      </c>
    </row>
    <row r="214">
      <c r="A214" t="str">
        <v>2025-100</v>
      </c>
      <c r="B214" t="str">
        <v xml:space="preserve">Commissioned Research </v>
      </c>
      <c r="C214" t="str">
        <v>Study on the Impact of Emissions on the Formation of Condensable Fine Particles</v>
      </c>
      <c r="D214" t="str">
        <v>Gong, Sungyong</v>
      </c>
      <c r="E214" t="str">
        <v>Atmospheric Environment</v>
      </c>
      <c r="F214" t="str">
        <v>Environmental Health</v>
      </c>
      <c r="G214" s="1" t="d">
        <v>2025-07-24T23:59:08.000Z</v>
      </c>
      <c r="H214" s="1" t="d">
        <v>2026-03-23T23:59:08.000Z</v>
      </c>
      <c r="I214" t="str">
        <v/>
      </c>
      <c r="J214" t="str">
        <v/>
      </c>
      <c r="K214" t="str">
        <v/>
      </c>
    </row>
    <row r="215">
      <c r="A215" t="str">
        <v>2025-102</v>
      </c>
      <c r="B215" t="str">
        <v xml:space="preserve">Commissioned Research </v>
      </c>
      <c r="C215" t="str">
        <v>Developing the Climate Change Research Roadmap (2026–2030) for the National Institute of Biological Resources under the Ministry of Environment</v>
      </c>
      <c r="D215" t="str">
        <v>Kim, Yoonjung</v>
      </c>
      <c r="E215" t="str">
        <v>Climate Adaptation</v>
      </c>
      <c r="F215" t="str">
        <v/>
      </c>
      <c r="G215" s="1" t="d">
        <v>2025-08-03T23:59:08.000Z</v>
      </c>
      <c r="H215" s="1" t="d">
        <v>2026-05-29T23:59:08.000Z</v>
      </c>
      <c r="I215" t="str">
        <v/>
      </c>
      <c r="J215" t="str">
        <v/>
      </c>
      <c r="K215" t="str">
        <v/>
      </c>
    </row>
    <row r="216">
      <c r="A216" t="str">
        <v>2025-104</v>
      </c>
      <c r="B216" t="str">
        <v xml:space="preserve">Commissioned Research </v>
      </c>
      <c r="C216" t="str">
        <v>Enhancing Environmental Assessment for Development-Restricted Areas</v>
      </c>
      <c r="D216" t="str">
        <v>Yoon, Jeongho</v>
      </c>
      <c r="E216" t="str">
        <v>Land and Urban Environment</v>
      </c>
      <c r="F216" t="str">
        <v>Environmental Assessment</v>
      </c>
      <c r="G216" s="1" t="d">
        <v>2025-08-06T23:59:08.000Z</v>
      </c>
      <c r="H216" s="1" t="d">
        <v>2026-06-02T23:59:08.000Z</v>
      </c>
      <c r="I216" t="str">
        <v/>
      </c>
      <c r="J216" t="str">
        <v/>
      </c>
      <c r="K216" t="str">
        <v/>
      </c>
    </row>
    <row r="217">
      <c r="A217" t="str">
        <v>2025-103</v>
      </c>
      <c r="B217" t="str">
        <v xml:space="preserve">Commissioned Research </v>
      </c>
      <c r="C217" t="str">
        <v>Developing Policy Indicators for Statutory Plans of Groundwater Management</v>
      </c>
      <c r="D217" t="str">
        <v>Hyun, Yunjung</v>
      </c>
      <c r="E217" t="str">
        <v>Water Management</v>
      </c>
      <c r="F217" t="str">
        <v/>
      </c>
      <c r="G217" s="1" t="d">
        <v>2025-08-07T23:59:08.000Z</v>
      </c>
      <c r="H217" s="1" t="d">
        <v>2026-08-06T23:59:08.000Z</v>
      </c>
      <c r="I217" t="str">
        <v/>
      </c>
      <c r="J217" t="str">
        <v/>
      </c>
      <c r="K217" t="str">
        <v/>
      </c>
    </row>
    <row r="218">
      <c r="A218" t="str">
        <v>2025-106</v>
      </c>
      <c r="B218" t="str">
        <v xml:space="preserve">Commissioned Research </v>
      </c>
      <c r="C218" t="str">
        <v>Pre-Feasibility Assessment and Conceptual Planning for the National Biodiversity Convergence Center</v>
      </c>
      <c r="D218" t="str">
        <v>Lee, Who-Seung</v>
      </c>
      <c r="E218" t="str">
        <v>Ecology</v>
      </c>
      <c r="F218" t="str">
        <v>Sustainable Development</v>
      </c>
      <c r="G218" s="1" t="d">
        <v>2025-08-20T23:59:08.000Z</v>
      </c>
      <c r="H218" s="1" t="d">
        <v>2026-04-29T23:59:08.000Z</v>
      </c>
      <c r="I218" t="str">
        <v/>
      </c>
      <c r="J218" t="str">
        <v/>
      </c>
      <c r="K218" t="str">
        <v/>
      </c>
    </row>
    <row r="219">
      <c r="A219" t="str">
        <v>2025-107</v>
      </c>
      <c r="B219" t="str">
        <v xml:space="preserve">Commissioned Research </v>
      </c>
      <c r="C219" t="str">
        <v>Development of Measures to Enhance the Climate Change Impact Assessment Framework</v>
      </c>
      <c r="D219" t="str">
        <v>Kim, Yumi</v>
      </c>
      <c r="E219" t="str">
        <v>Environmental Assessment</v>
      </c>
      <c r="F219" t="str">
        <v>Climate Adaptation</v>
      </c>
      <c r="G219" s="1" t="d">
        <v>2025-08-28T23:59:08.000Z</v>
      </c>
      <c r="H219" s="1" t="d">
        <v>2026-08-27T23:59:08.000Z</v>
      </c>
      <c r="I219" t="str">
        <v/>
      </c>
      <c r="J219" t="str">
        <v/>
      </c>
      <c r="K219" t="str">
        <v/>
      </c>
    </row>
    <row r="220">
      <c r="A220" t="str">
        <v>2025-108</v>
      </c>
      <c r="B220" t="str">
        <v xml:space="preserve">Commissioned Research </v>
      </c>
      <c r="C220" t="str">
        <v>Korea’s Practice of Addressing Air Pollution and GHG Emissions from Small- and Medium-scale Industries</v>
      </c>
      <c r="D220" t="str">
        <v>Chang, Hoon</v>
      </c>
      <c r="E220" t="str">
        <v>Climate Adaptation</v>
      </c>
      <c r="F220" t="str">
        <v>Environmental Health</v>
      </c>
      <c r="G220" s="1" t="d">
        <v>2025-08-31T23:59:08.000Z</v>
      </c>
      <c r="H220" s="1" t="d">
        <v>2027-03-29T23:59:08.000Z</v>
      </c>
      <c r="I220" t="str">
        <v/>
      </c>
      <c r="J220" t="str">
        <v/>
      </c>
      <c r="K220" t="str">
        <v/>
      </c>
    </row>
    <row r="221">
      <c r="A221" t="str">
        <v>BA2025-030-06</v>
      </c>
      <c r="B221" t="str">
        <v>Working Paper</v>
      </c>
      <c r="C221" t="str">
        <v>Foundational Research for East Asia Green Triangular Cooperation</v>
      </c>
      <c r="D221" t="str">
        <v>Jung, Sungwoon</v>
      </c>
      <c r="E221" t="str">
        <v>International Environmental Collaboration</v>
      </c>
      <c r="F221" t="str">
        <v/>
      </c>
      <c r="G221" s="1" t="d">
        <v>2025-08-31T23:59:08.000Z</v>
      </c>
      <c r="H221" s="1" t="d">
        <v>2026-02-27T23:59:08.000Z</v>
      </c>
      <c r="I221" t="str">
        <v/>
      </c>
      <c r="J221" t="str">
        <v/>
      </c>
      <c r="K221" t="str">
        <v/>
      </c>
    </row>
    <row r="222">
      <c r="A222" t="str">
        <v>BA2025-030-07</v>
      </c>
      <c r="B222" t="str">
        <v>Working Paper</v>
      </c>
      <c r="C222" t="str">
        <v>Methodological Review of Compound Drought–Wildfire Disaster Risk Assessment</v>
      </c>
      <c r="D222" t="str">
        <v xml:space="preserve">Sung, Kyungmin </v>
      </c>
      <c r="E222" t="str">
        <v>Climate Adaptation</v>
      </c>
      <c r="F222" t="str">
        <v>Water Management</v>
      </c>
      <c r="G222" s="1" t="d">
        <v>2025-08-31T23:59:08.000Z</v>
      </c>
      <c r="H222" s="1" t="d">
        <v>2026-02-27T23:59:08.000Z</v>
      </c>
      <c r="I222" t="str">
        <v/>
      </c>
      <c r="J222" t="str">
        <v/>
      </c>
      <c r="K222" t="str">
        <v/>
      </c>
    </row>
    <row r="223">
      <c r="A223" t="str">
        <v>WO2025-07</v>
      </c>
      <c r="B223" t="str">
        <v>Policy Study</v>
      </c>
      <c r="C223" t="str">
        <v>Development of Measures for Linking Legal Frameworks and Enhancing Management to Strengthen Urban Green Networks</v>
      </c>
      <c r="D223" t="str">
        <v>Lee, Ji-Young</v>
      </c>
      <c r="E223" t="str">
        <v>Land and Urban Environment</v>
      </c>
      <c r="F223" t="str">
        <v>Ecology</v>
      </c>
      <c r="G223" s="1" t="d">
        <v>2025-08-31T23:59:08.000Z</v>
      </c>
      <c r="H223" s="1" t="d">
        <v>2026-02-27T23:59:08.000Z</v>
      </c>
      <c r="I223" t="str">
        <v/>
      </c>
      <c r="J223" t="str">
        <v/>
      </c>
      <c r="K223" t="str">
        <v/>
      </c>
    </row>
    <row r="224">
      <c r="A224" t="str">
        <v>WO2025-08</v>
      </c>
      <c r="B224" t="str">
        <v>Policy Study</v>
      </c>
      <c r="C224" t="str">
        <v>Strategic Approaches for Transitioning Aging Planned Cities into AIoT Enabled Intelligent Eco-Cities</v>
      </c>
      <c r="D224" t="str">
        <v>Choi, Hee-Sun and Kim, Geunhan</v>
      </c>
      <c r="E224" t="str">
        <v>AI and Environmental Informatics</v>
      </c>
      <c r="F224" t="str">
        <v>Land and Urban Environment</v>
      </c>
      <c r="G224" s="1" t="d">
        <v>2025-08-31T23:59:08.000Z</v>
      </c>
      <c r="H224" s="1" t="d">
        <v>2026-02-27T23:59:08.000Z</v>
      </c>
      <c r="I224" t="str">
        <v/>
      </c>
      <c r="J224" t="str">
        <v/>
      </c>
      <c r="K224" t="str">
        <v/>
      </c>
    </row>
    <row r="225">
      <c r="A225" t="str">
        <v>WO2025-09</v>
      </c>
      <c r="B225" t="str">
        <v>Policy Study</v>
      </c>
      <c r="C225" t="str">
        <v>Issues and Policy Measures for Promoting Exports of Climate and Environmental Industries to Achieve NDC Targets</v>
      </c>
      <c r="D225" t="str">
        <v>Shin, Dong Won</v>
      </c>
      <c r="E225" t="str">
        <v>Carbon Neutrality and Energy</v>
      </c>
      <c r="F225" t="str">
        <v>International Environmental Collaboration</v>
      </c>
      <c r="G225" s="1" t="d">
        <v>2025-08-31T23:59:08.000Z</v>
      </c>
      <c r="H225" s="1" t="d">
        <v>2026-02-27T23:59:08.000Z</v>
      </c>
      <c r="I225" t="str">
        <v/>
      </c>
      <c r="J225" t="str">
        <v/>
      </c>
      <c r="K225" t="str">
        <v/>
      </c>
    </row>
    <row r="226">
      <c r="A226" t="str">
        <v>2025-109</v>
      </c>
      <c r="B226" t="str">
        <v xml:space="preserve">Commissioned Research </v>
      </c>
      <c r="C226" t="str">
        <v>Development of a Response Framework for the Carbon Border Adjustment Mechanism</v>
      </c>
      <c r="D226" t="str">
        <v>Kim, Sungjin</v>
      </c>
      <c r="E226" t="str">
        <v>Carbon Neutrality and Energy</v>
      </c>
      <c r="F226" t="str">
        <v>International Environmental Collaboration</v>
      </c>
      <c r="G226" s="1" t="d">
        <v>2025-09-23T23:59:08.000Z</v>
      </c>
      <c r="H226" s="1" t="d">
        <v>2026-09-22T23:59:08.000Z</v>
      </c>
      <c r="I226" t="str">
        <v/>
      </c>
      <c r="J226" t="str">
        <v/>
      </c>
      <c r="K226" t="str">
        <v/>
      </c>
    </row>
    <row r="227">
      <c r="A227" t="str">
        <v>2025-110</v>
      </c>
      <c r="B227" t="str">
        <v xml:space="preserve">Commissioned Research </v>
      </c>
      <c r="C227" t="str">
        <v>Enhancement of the Electric Vehicle Subsidy System and Development of Support Measures Tailored for Each Vehicle Type</v>
      </c>
      <c r="D227" t="str">
        <v>Lee, Jeongeun</v>
      </c>
      <c r="E227" t="str">
        <v>Carbon Neutrality and Energy</v>
      </c>
      <c r="F227" t="str">
        <v>Environmental Economics</v>
      </c>
      <c r="G227" s="1" t="d">
        <v>2025-09-23T23:59:08.000Z</v>
      </c>
      <c r="H227" s="1" t="d">
        <v>2026-04-20T23:59:08.000Z</v>
      </c>
      <c r="I227" t="str">
        <v/>
      </c>
      <c r="J227" t="str">
        <v/>
      </c>
      <c r="K227" t="str">
        <v/>
      </c>
    </row>
    <row r="228">
      <c r="A228" t="str">
        <v>2025-111</v>
      </c>
      <c r="B228" t="str">
        <v xml:space="preserve">Commissioned Research </v>
      </c>
      <c r="C228" t="str">
        <v>Developing Biodiversity Subsidy Management Measures to Support Implementation of the Global Biodiversity Framework</v>
      </c>
      <c r="D228" t="str">
        <v xml:space="preserve">Koo, Kyung Ah </v>
      </c>
      <c r="E228" t="str">
        <v>Ecology</v>
      </c>
      <c r="F228" t="str">
        <v>Environmental Economics</v>
      </c>
      <c r="G228" s="1" t="d">
        <v>2025-09-24T23:59:08.000Z</v>
      </c>
      <c r="H228" s="1" t="d">
        <v>2026-09-23T23:59:08.000Z</v>
      </c>
      <c r="I228" t="str">
        <v/>
      </c>
      <c r="J228" t="str">
        <v/>
      </c>
      <c r="K228" t="str">
        <v/>
      </c>
    </row>
    <row r="229">
      <c r="A229" t="str">
        <v>2025-112</v>
      </c>
      <c r="B229" t="str">
        <v xml:space="preserve">Commissioned Research </v>
      </c>
      <c r="C229" t="str">
        <v>Analysis of Implementation Trends and Development of Response Measures for the CBD Kunming-Montreal Global Biodiversity Framework (III)</v>
      </c>
      <c r="D229" t="str">
        <v>Lee, Who-Seung</v>
      </c>
      <c r="E229" t="str">
        <v>Ecology</v>
      </c>
      <c r="F229" t="str">
        <v>International Environmental Collaboration</v>
      </c>
      <c r="G229" s="1" t="d">
        <v>2025-09-24T23:59:08.000Z</v>
      </c>
      <c r="H229" s="1" t="d">
        <v>2026-03-22T23:59:08.000Z</v>
      </c>
      <c r="I229" t="str">
        <v/>
      </c>
      <c r="J229" t="str">
        <v/>
      </c>
      <c r="K229" t="str">
        <v/>
      </c>
    </row>
    <row r="230">
      <c r="A230" t="str">
        <v>2025-105(R)</v>
      </c>
      <c r="B230" t="str">
        <v xml:space="preserve">Commissioned Research </v>
      </c>
      <c r="C230" t="str">
        <v>BiodivAID: Advanced Biodiversity AI-driven Assessment Platform for Informed Environmental Decision-Making  (Year 1)</v>
      </c>
      <c r="D230" t="str">
        <v>Choi, Yuyoung</v>
      </c>
      <c r="E230" t="str">
        <v>AI and Environmental Informatics</v>
      </c>
      <c r="F230" t="str">
        <v>Ecology</v>
      </c>
      <c r="G230" s="1" t="d">
        <v>2025-09-30T23:59:08.000Z</v>
      </c>
      <c r="H230" s="1" t="d">
        <v>2025-12-30T23:59:08.000Z</v>
      </c>
      <c r="I230" t="str">
        <v/>
      </c>
      <c r="J230" t="str">
        <v/>
      </c>
      <c r="K230" t="str">
        <v/>
      </c>
    </row>
    <row r="231">
      <c r="A231" t="str">
        <v>2025-114</v>
      </c>
      <c r="B231" t="str">
        <v xml:space="preserve">Commissioned Research </v>
      </c>
      <c r="C231" t="str">
        <v>Development of a Support Framework to Enhance the Competitiveness of Carbon-Neutral Emerging Industries</v>
      </c>
      <c r="D231" t="str">
        <v>Shin, Dong Won</v>
      </c>
      <c r="E231" t="str">
        <v>Carbon Neutrality and Energy</v>
      </c>
      <c r="F231" t="str">
        <v>Environmental Economics</v>
      </c>
      <c r="G231" s="1" t="d">
        <v>2025-10-01T23:59:08.000Z</v>
      </c>
      <c r="H231" s="1" t="d">
        <v>2026-04-01T23:59:08.000Z</v>
      </c>
      <c r="I231" t="str">
        <v/>
      </c>
      <c r="J231" t="str">
        <v/>
      </c>
      <c r="K231" t="str">
        <v/>
      </c>
    </row>
    <row r="232">
      <c r="A232" t="str">
        <v>2025-113</v>
      </c>
      <c r="B232" t="str">
        <v xml:space="preserve">Commissioned Research </v>
      </c>
      <c r="C232" t="str">
        <v>Development of Measures to Improve the Agency Contract System and Operations for Enhancing the Reliability of the Environmental Impact Assessment System</v>
      </c>
      <c r="D232" t="str">
        <v>Yi, Youngjae</v>
      </c>
      <c r="E232" t="str">
        <v>Environmental Assessment</v>
      </c>
      <c r="F232" t="str">
        <v>Environmental Economics</v>
      </c>
      <c r="G232" s="1" t="d">
        <v>2025-10-12T23:59:08.000Z</v>
      </c>
      <c r="H232" s="1" t="d">
        <v>2026-06-08T23:59:08.000Z</v>
      </c>
      <c r="I232" t="str">
        <v/>
      </c>
      <c r="J232" t="str">
        <v/>
      </c>
      <c r="K232" t="str">
        <v/>
      </c>
    </row>
    <row r="233">
      <c r="A233" t="str">
        <v>2025-116</v>
      </c>
      <c r="B233" t="str">
        <v xml:space="preserve">Commissioned Research </v>
      </c>
      <c r="C233" t="str">
        <v>Feasibility Review and Preparation of Draft Amendments for the First Master Plan for National Water Management (Phase 2)</v>
      </c>
      <c r="D233" t="str">
        <v>Han, Haejin</v>
      </c>
      <c r="E233" t="str">
        <v>Water Management</v>
      </c>
      <c r="F233" t="str">
        <v/>
      </c>
      <c r="G233" s="1" t="d">
        <v>2025-10-17T23:59:08.000Z</v>
      </c>
      <c r="H233" s="1" t="d">
        <v>2026-10-16T23:59:08.000Z</v>
      </c>
      <c r="I233" t="str">
        <v/>
      </c>
      <c r="J233" t="str">
        <v/>
      </c>
      <c r="K233" t="str">
        <v/>
      </c>
    </row>
    <row r="234">
      <c r="A234" t="str">
        <v>2025-115</v>
      </c>
      <c r="B234" t="str">
        <v xml:space="preserve">Commissioned Research </v>
      </c>
      <c r="C234" t="str">
        <v>Establishing a Fund to Support the Growth of the Advanced Water Industry</v>
      </c>
      <c r="D234" t="str">
        <v xml:space="preserve">Oh, Myoungjin </v>
      </c>
      <c r="E234" t="str">
        <v>Water Management</v>
      </c>
      <c r="F234" t="str">
        <v>Environmental Economics</v>
      </c>
      <c r="G234" s="1" t="d">
        <v>2025-10-27T23:59:08.000Z</v>
      </c>
      <c r="H234" s="1" t="d">
        <v>2026-06-23T23:59:08.000Z</v>
      </c>
      <c r="I234" t="str">
        <v/>
      </c>
      <c r="J234" t="str">
        <v/>
      </c>
      <c r="K234" t="str">
        <v/>
      </c>
    </row>
    <row r="235">
      <c r="A235" t="str">
        <v>WO2025-10</v>
      </c>
      <c r="B235" t="str">
        <v>Policy Study</v>
      </c>
      <c r="C235" t="str">
        <v>Measures for Adjusting Transport Fuel Prices and Using Tax Revenues to Promote the Transition to Zero-Emission Vehicles</v>
      </c>
      <c r="D235" t="str">
        <v>Hahn, Jinseok</v>
      </c>
      <c r="E235" t="str">
        <v>Carbon Neutrality and Energy</v>
      </c>
      <c r="F235" t="str">
        <v>Environmental Economics</v>
      </c>
      <c r="G235" s="1" t="d">
        <v>2025-11-09T23:59:08.000Z</v>
      </c>
      <c r="H235" s="1" t="d">
        <v>2026-05-08T23:59:08.000Z</v>
      </c>
      <c r="I235" t="str">
        <v/>
      </c>
      <c r="J235" t="str">
        <v/>
      </c>
      <c r="K235" t="str">
        <v/>
      </c>
    </row>
    <row r="236">
      <c r="A236" t="str">
        <v>WO2025-11</v>
      </c>
      <c r="B236" t="str">
        <v>Policy Study</v>
      </c>
      <c r="C236" t="str">
        <v>Assessment of Effectiveness and Policy Measures for Securing River Flood Buffer Spaces</v>
      </c>
      <c r="D236" t="str">
        <v>Choi, Mikyoung</v>
      </c>
      <c r="E236" t="str">
        <v>Water Management</v>
      </c>
      <c r="F236" t="str">
        <v>Climate Adaptation</v>
      </c>
      <c r="G236" s="1" t="d">
        <v>2025-11-09T23:59:08.000Z</v>
      </c>
      <c r="H236" s="1" t="d">
        <v>2026-05-08T23:59:08.000Z</v>
      </c>
      <c r="I236" t="str">
        <v/>
      </c>
      <c r="J236" t="str">
        <v/>
      </c>
      <c r="K236" t="str">
        <v/>
      </c>
    </row>
    <row r="237">
      <c r="A237" t="str">
        <v>2025-117</v>
      </c>
      <c r="B237" t="str">
        <v xml:space="preserve">Commissioned Research </v>
      </c>
      <c r="C237" t="str">
        <v>Development of a Follow-Up Management Framework for Integrated Environmental Management Facilities</v>
      </c>
      <c r="D237" t="str">
        <v>Han, Daeho</v>
      </c>
      <c r="E237" t="str">
        <v>Environmental Assessment</v>
      </c>
      <c r="F237" t="str">
        <v>Environmental Health</v>
      </c>
      <c r="G237" s="1" t="d">
        <v>2025-11-11T23:59:08.000Z</v>
      </c>
      <c r="H237" s="1" t="d">
        <v>2026-05-09T23:59:08.000Z</v>
      </c>
      <c r="I237" t="str">
        <v/>
      </c>
      <c r="J237" t="str">
        <v/>
      </c>
      <c r="K237" t="str">
        <v/>
      </c>
    </row>
    <row r="238">
      <c r="A238" t="str">
        <v>BA2025-040-08</v>
      </c>
      <c r="B238" t="str">
        <v>Working Paper</v>
      </c>
      <c r="C238" t="str">
        <v>Improvement Strategies for Climate Change Impact Assessment through Case Studies of Heatwave Risk Evaluation Methodologies</v>
      </c>
      <c r="D238" t="str">
        <v>Yun, Seokhwan</v>
      </c>
      <c r="E238" t="str">
        <v>Environmental Assessment</v>
      </c>
      <c r="F238" t="str">
        <v>Climate Adaptation</v>
      </c>
      <c r="G238" s="1" t="d">
        <v>2025-12-07T23:59:08.000Z</v>
      </c>
      <c r="H238" s="1" t="d">
        <v>2026-06-06T23:59:08.000Z</v>
      </c>
      <c r="I238" t="str">
        <v/>
      </c>
      <c r="J238" t="str">
        <v/>
      </c>
      <c r="K238" t="str">
        <v/>
      </c>
    </row>
    <row r="239">
      <c r="A239" t="str">
        <v>BA2025-040-09</v>
      </c>
      <c r="B239" t="str">
        <v>Working Paper</v>
      </c>
      <c r="C239" t="str">
        <v>A Foundational Study on Establishing a Spatial Planning Framework for Carbon-Neutral Cities</v>
      </c>
      <c r="D239" t="str">
        <v>Song, Seulki</v>
      </c>
      <c r="E239" t="str">
        <v>Land and Urban Environment</v>
      </c>
      <c r="F239" t="str">
        <v>Carbon Neutrality and Energy</v>
      </c>
      <c r="G239" s="1" t="d">
        <v>2025-12-07T23:59:08.000Z</v>
      </c>
      <c r="H239" s="1" t="d">
        <v>2026-06-06T23:59:08.000Z</v>
      </c>
      <c r="I239" t="str">
        <v/>
      </c>
      <c r="J239" t="str">
        <v/>
      </c>
      <c r="K239" t="str">
        <v/>
      </c>
    </row>
    <row r="240">
      <c r="A240" t="str">
        <v>2025-118</v>
      </c>
      <c r="B240" t="str">
        <v xml:space="preserve">Commissioned Research </v>
      </c>
      <c r="C240" t="str">
        <v>Strategies for Enhancing the Fostering and Support Mechanisms for Climate and Green Industries</v>
      </c>
      <c r="D240" t="str">
        <v>Lee, Jeongeun</v>
      </c>
      <c r="E240" t="str">
        <v>Carbon Neutrality and Energy</v>
      </c>
      <c r="F240" t="str">
        <v>Environmental Economics</v>
      </c>
      <c r="G240" s="1" t="d">
        <v>2025-12-08T23:59:08.000Z</v>
      </c>
      <c r="H240" s="1" t="d">
        <v>2026-06-06T23:59:08.000Z</v>
      </c>
      <c r="I240" t="str">
        <v/>
      </c>
      <c r="J240" t="str">
        <v/>
      </c>
      <c r="K240" t="str">
        <v/>
      </c>
    </row>
    <row r="241">
      <c r="A241" t="str">
        <v>2025-119</v>
      </c>
      <c r="B241" t="str">
        <v xml:space="preserve">Commissioned Research </v>
      </c>
      <c r="C241" t="str">
        <v>Designation and Management Strategies for Ecosystem Service Promotion Zones (I)</v>
      </c>
      <c r="D241" t="str">
        <v>Choi, Hee-Sun</v>
      </c>
      <c r="E241" t="str">
        <v>Ecology</v>
      </c>
      <c r="F241" t="str">
        <v>Sustainable Development</v>
      </c>
      <c r="G241" s="1" t="d">
        <v>2025-12-08T23:59:08.000Z</v>
      </c>
      <c r="H241" s="1" t="d">
        <v>2026-06-06T23:59:08.000Z</v>
      </c>
      <c r="I241" t="str">
        <v/>
      </c>
      <c r="J241" t="str">
        <v/>
      </c>
      <c r="K241" t="str">
        <v/>
      </c>
    </row>
    <row r="242">
      <c r="A242" t="str">
        <v>2025-120</v>
      </c>
      <c r="B242" t="str">
        <v xml:space="preserve">Commissioned Research </v>
      </c>
      <c r="C242" t="str">
        <v>Enhancing Alternative Habitat Creation and Management Strategies for Sustainable Nature Conservation</v>
      </c>
      <c r="D242" t="str">
        <v>Lee, Who-Seung</v>
      </c>
      <c r="E242" t="str">
        <v>Ecology</v>
      </c>
      <c r="F242" t="str">
        <v>Environmental Assessment</v>
      </c>
      <c r="G242" s="1" t="d">
        <v>2025-12-10T23:59:08.000Z</v>
      </c>
      <c r="H242" s="1" t="d">
        <v>2026-06-05T23:59:08.000Z</v>
      </c>
      <c r="I242" t="str">
        <v/>
      </c>
      <c r="J242" t="str">
        <v/>
      </c>
      <c r="K242" t="str">
        <v/>
      </c>
    </row>
    <row r="243">
      <c r="A243" t="str">
        <v>2025-121</v>
      </c>
      <c r="B243" t="str">
        <v xml:space="preserve">Commissioned Research </v>
      </c>
      <c r="C243" t="str">
        <v>Management Strategies for Primary and Secondary African Swine Fever (ASF) Control Fences</v>
      </c>
      <c r="D243" t="str">
        <v xml:space="preserve">Koo, Kyung Ah </v>
      </c>
      <c r="E243" t="str">
        <v>Environmental Health</v>
      </c>
      <c r="F243" t="str">
        <v>Ecology</v>
      </c>
      <c r="G243" s="1" t="d">
        <v>2025-12-25T23:59:08.000Z</v>
      </c>
      <c r="H243" s="1" t="d">
        <v>2026-01-15T23:59:08.000Z</v>
      </c>
      <c r="I243" t="str">
        <v/>
      </c>
      <c r="J243" t="str">
        <v/>
      </c>
      <c r="K243" t="str">
        <v/>
      </c>
    </row>
    <row r="244">
      <c r="A244" t="str">
        <v>2024-082</v>
      </c>
      <c r="B244" t="str">
        <v xml:space="preserve">Commissioned Research </v>
      </c>
      <c r="C244" t="str">
        <v>Study on the Designation and Institutional Development for K-Carbon Neutral Cities</v>
      </c>
      <c r="D244" t="str">
        <v>Park, Chang Sug</v>
      </c>
      <c r="E244" t="str">
        <v>Carbon Neutrality and Energy</v>
      </c>
      <c r="F244" t="str">
        <v>Land and Urban Environment</v>
      </c>
      <c r="G244" s="1" t="d">
        <v>2024-07-14T23:59:08.000Z</v>
      </c>
      <c r="H244" s="1" t="d">
        <v>2025-03-30T23:59:08.000Z</v>
      </c>
      <c r="I244" t="str">
        <v/>
      </c>
      <c r="J244" t="str">
        <v/>
      </c>
      <c r="K244" t="str">
        <v/>
      </c>
    </row>
    <row r="245">
      <c r="A245" t="str">
        <v>GP2025-01</v>
      </c>
      <c r="B245" t="str">
        <v>General Project</v>
      </c>
      <c r="C245" t="str">
        <v>Management of the Global Environmental Information Center</v>
      </c>
      <c r="D245" t="str">
        <v>Park, Jun Hyun</v>
      </c>
      <c r="E245" t="str">
        <v>International Environmental Collaboration</v>
      </c>
      <c r="F245" t="str">
        <v/>
      </c>
      <c r="G245" s="1" t="d">
        <v>2024-12-31T23:59:08.000Z</v>
      </c>
      <c r="H245" s="1" t="d">
        <v>2025-12-30T23:59:08.000Z</v>
      </c>
      <c r="I245" t="str">
        <v/>
      </c>
      <c r="J245" t="str">
        <v/>
      </c>
      <c r="K245" t="str">
        <v/>
      </c>
    </row>
    <row r="246">
      <c r="A246" t="str">
        <v>GP2025-02</v>
      </c>
      <c r="B246" t="str">
        <v>General Project</v>
      </c>
      <c r="C246" t="str">
        <v>Management of the National Land Environmental Information Network System</v>
      </c>
      <c r="D246" t="str">
        <v>Yoon, Jeongho</v>
      </c>
      <c r="E246" t="str">
        <v>Land and Urban Environment</v>
      </c>
      <c r="F246" t="str">
        <v>AI and Environmental Informatics</v>
      </c>
      <c r="G246" s="1" t="d">
        <v>2024-12-31T23:59:08.000Z</v>
      </c>
      <c r="H246" s="1" t="d">
        <v>2025-12-30T23:59:08.000Z</v>
      </c>
      <c r="I246" t="str">
        <v/>
      </c>
      <c r="J246" t="str">
        <v/>
      </c>
      <c r="K246" t="str">
        <v/>
      </c>
    </row>
    <row r="247">
      <c r="A247" t="str">
        <v>GP2025-03</v>
      </c>
      <c r="B247" t="str">
        <v>General Project</v>
      </c>
      <c r="C247" t="str">
        <v>Management of the KEI E-Learning Center</v>
      </c>
      <c r="D247" t="str">
        <v>Cho, Kongjang</v>
      </c>
      <c r="E247" t="str">
        <v>Socio-Environmental Interface</v>
      </c>
      <c r="F247" t="str">
        <v>AI and Environmental Informatics</v>
      </c>
      <c r="G247" s="1" t="d">
        <v>2024-12-31T23:59:08.000Z</v>
      </c>
      <c r="H247" s="1" t="d">
        <v>2025-12-30T23:59:08.000Z</v>
      </c>
      <c r="I247" t="str">
        <v/>
      </c>
      <c r="J247" t="str">
        <v/>
      </c>
      <c r="K247" t="str">
        <v/>
      </c>
    </row>
    <row r="248">
      <c r="A248" t="str">
        <v>GP2025-04</v>
      </c>
      <c r="B248" t="str">
        <v>General Project</v>
      </c>
      <c r="C248" t="str">
        <v>Building and Assessing Adaptive Capacity to Climate Change for the National Risk Management</v>
      </c>
      <c r="D248" t="str">
        <v>Jung, Huicheul</v>
      </c>
      <c r="E248" t="str">
        <v>Climate Adaptation</v>
      </c>
      <c r="F248" t="str">
        <v/>
      </c>
      <c r="G248" s="1" t="d">
        <v>2024-12-31T23:59:08.000Z</v>
      </c>
      <c r="H248" s="1" t="d">
        <v>2025-12-30T23:59:08.000Z</v>
      </c>
      <c r="I248" t="str">
        <v/>
      </c>
      <c r="J248" t="str">
        <v/>
      </c>
      <c r="K248" t="str">
        <v/>
      </c>
    </row>
    <row r="249">
      <c r="A249" t="str">
        <v>GP2025-05</v>
      </c>
      <c r="B249" t="str">
        <v>General Project</v>
      </c>
      <c r="C249" t="str">
        <v>Environmental Assessment Monitoring Project</v>
      </c>
      <c r="D249" t="str">
        <v>Lee, Sangbum</v>
      </c>
      <c r="E249" t="str">
        <v>Environmental Assessment</v>
      </c>
      <c r="F249" t="str">
        <v/>
      </c>
      <c r="G249" s="1" t="d">
        <v>2024-12-31T23:59:08.000Z</v>
      </c>
      <c r="H249" s="1" t="d">
        <v>2025-12-30T23:59:08.000Z</v>
      </c>
      <c r="I249" t="str">
        <v/>
      </c>
      <c r="J249" t="str">
        <v/>
      </c>
      <c r="K249" t="str">
        <v/>
      </c>
    </row>
    <row r="250">
      <c r="A250" t="str">
        <v>GP2025-06</v>
      </c>
      <c r="B250" t="str">
        <v>General Project</v>
      </c>
      <c r="C250" t="str">
        <v>Review and Methodological Study of Climate Change Impact Assessment</v>
      </c>
      <c r="D250" t="str">
        <v>Lee, Sangbum</v>
      </c>
      <c r="E250" t="str">
        <v>Environmental Assessment</v>
      </c>
      <c r="F250" t="str">
        <v>Climate Adaptation</v>
      </c>
      <c r="G250" s="1" t="d">
        <v>2024-12-31T23:59:08.000Z</v>
      </c>
      <c r="H250" s="1" t="d">
        <v>2025-12-30T23:59:08.000Z</v>
      </c>
      <c r="I250" t="str">
        <v/>
      </c>
      <c r="J250" t="str">
        <v/>
      </c>
      <c r="K250" t="str">
        <v/>
      </c>
    </row>
    <row r="251">
      <c r="A251" t="str">
        <v>GP2025-08</v>
      </c>
      <c r="B251" t="str">
        <v>General Project</v>
      </c>
      <c r="C251" t="str">
        <v>Water Policy Outlook Based on Integrated Analysis of Water, Environment, and Economy</v>
      </c>
      <c r="D251" t="str">
        <v>Ryu, Jaena</v>
      </c>
      <c r="E251" t="str">
        <v>Water Management</v>
      </c>
      <c r="F251" t="str">
        <v>Environmental Economics</v>
      </c>
      <c r="G251" s="1" t="d">
        <v>2024-12-31T23:59:08.000Z</v>
      </c>
      <c r="H251" s="1" t="d">
        <v>2025-12-30T23:59:08.000Z</v>
      </c>
      <c r="I251" t="str">
        <v/>
      </c>
      <c r="J251" t="str">
        <v/>
      </c>
      <c r="K251" t="str">
        <v/>
      </c>
    </row>
    <row r="252">
      <c r="A252" t="str">
        <v>GP2025-09</v>
      </c>
      <c r="B252" t="str">
        <v>General Project</v>
      </c>
      <c r="C252" t="str">
        <v>Research on the Circularity and Lifecycle Environmental Impacts of Plastics in Response to Global Environmental Regulations</v>
      </c>
      <c r="D252" t="str">
        <v xml:space="preserve">Yi, Sora </v>
      </c>
      <c r="E252" t="str">
        <v>Circular Economy</v>
      </c>
      <c r="F252" t="str">
        <v/>
      </c>
      <c r="G252" s="1" t="d">
        <v>2024-12-31T23:59:08.000Z</v>
      </c>
      <c r="H252" s="1" t="d">
        <v>2025-12-30T23:59:08.000Z</v>
      </c>
      <c r="I252" t="str">
        <v/>
      </c>
      <c r="J252" t="str">
        <v/>
      </c>
      <c r="K252" t="str">
        <v/>
      </c>
    </row>
    <row r="253">
      <c r="A253" t="str">
        <v>GP2025-10</v>
      </c>
      <c r="B253" t="str">
        <v>General Project</v>
      </c>
      <c r="C253" t="str">
        <v>Development of Ecosystem Accounting and Biodiversity Mainstreaming Policies</v>
      </c>
      <c r="D253" t="str">
        <v>Lee, Who-Seung</v>
      </c>
      <c r="E253" t="str">
        <v>Ecology</v>
      </c>
      <c r="F253" t="str">
        <v>Sustainable Development</v>
      </c>
      <c r="G253" s="1" t="d">
        <v>2024-12-31T23:59:08.000Z</v>
      </c>
      <c r="H253" s="1" t="d">
        <v>2025-12-30T23:59:08.000Z</v>
      </c>
      <c r="I253" t="str">
        <v/>
      </c>
      <c r="J253" t="str">
        <v/>
      </c>
      <c r="K253" t="str">
        <v/>
      </c>
    </row>
    <row r="254">
      <c r="A254" t="str">
        <v>GP2025-11</v>
      </c>
      <c r="B254" t="str">
        <v>General Project</v>
      </c>
      <c r="C254" t="str">
        <v>Development of an Integrated Diagnostic System for Enhancing the Effectiveness of Environmental Assessment</v>
      </c>
      <c r="D254" t="str">
        <v>Park, Taeho</v>
      </c>
      <c r="E254" t="str">
        <v>Environmental Assessment</v>
      </c>
      <c r="F254" t="str">
        <v>AI and Environmental Informatics</v>
      </c>
      <c r="G254" s="1" t="d">
        <v>2024-12-31T23:59:08.000Z</v>
      </c>
      <c r="H254" s="1" t="d">
        <v>2025-12-30T23:59:08.000Z</v>
      </c>
      <c r="I254" t="str">
        <v/>
      </c>
      <c r="J254" t="str">
        <v/>
      </c>
      <c r="K254" t="str">
        <v/>
      </c>
    </row>
    <row r="255">
      <c r="A255" t="str">
        <v>GP2025-12</v>
      </c>
      <c r="B255" t="str">
        <v>General Project</v>
      </c>
      <c r="C255" t="str">
        <v>Collaborative Research on the Green Economy</v>
      </c>
      <c r="D255" t="str">
        <v>Suh, Yang-won</v>
      </c>
      <c r="E255" t="str">
        <v>Environmental Economics</v>
      </c>
      <c r="F255" t="str">
        <v>Sustainable Development</v>
      </c>
      <c r="G255" s="1" t="d">
        <v>2024-12-31T23:59:08.000Z</v>
      </c>
      <c r="H255" s="1" t="d">
        <v>2025-12-30T23:59:08.000Z</v>
      </c>
      <c r="I255" t="str">
        <v/>
      </c>
      <c r="J255" t="str">
        <v/>
      </c>
      <c r="K255" t="str">
        <v/>
      </c>
    </row>
    <row r="256">
      <c r="A256" t="str">
        <v>RE2025-15</v>
      </c>
      <c r="B256" t="str">
        <v>Core Research</v>
      </c>
      <c r="C256" t="str">
        <v>Environmental Impact Assessment Review</v>
      </c>
      <c r="D256" t="str">
        <v>Lee, Sangbum</v>
      </c>
      <c r="E256" t="str">
        <v>Environmental Assessment</v>
      </c>
      <c r="F256" t="str">
        <v/>
      </c>
      <c r="G256" s="1" t="d">
        <v>2024-12-31T23:59:08.000Z</v>
      </c>
      <c r="H256" s="1" t="d">
        <v>2025-12-30T23:59:08.000Z</v>
      </c>
      <c r="I256" t="str">
        <v/>
      </c>
      <c r="J256" t="str">
        <v/>
      </c>
      <c r="K256" t="str">
        <v/>
      </c>
    </row>
    <row r="257">
      <c r="A257" t="str">
        <v>RE2025-16</v>
      </c>
      <c r="B257" t="str">
        <v>Core Research</v>
      </c>
      <c r="C257" t="str">
        <v>Strategic Environmental Assessment Review</v>
      </c>
      <c r="D257" t="str">
        <v>Lee, Sangbum</v>
      </c>
      <c r="E257" t="str">
        <v>Environmental Assessment</v>
      </c>
      <c r="F257" t="str">
        <v/>
      </c>
      <c r="G257" s="1" t="d">
        <v>2024-12-31T23:59:08.000Z</v>
      </c>
      <c r="H257" s="1" t="d">
        <v>2025-12-30T23:59:08.000Z</v>
      </c>
      <c r="I257" t="str">
        <v/>
      </c>
      <c r="J257" t="str">
        <v/>
      </c>
      <c r="K257" t="str">
        <v/>
      </c>
    </row>
    <row r="258">
      <c r="A258" t="str">
        <v>2025-001</v>
      </c>
      <c r="B258" t="str">
        <v xml:space="preserve">Commissioned Research </v>
      </c>
      <c r="C258" t="str">
        <v>2025 Climate Change Adaptation Project</v>
      </c>
      <c r="D258" t="str">
        <v>Jung, Huicheul</v>
      </c>
      <c r="E258" t="str">
        <v>Climate Adaptation</v>
      </c>
      <c r="F258" t="str">
        <v/>
      </c>
      <c r="G258" s="1" t="d">
        <v>2024-12-31T23:59:08.000Z</v>
      </c>
      <c r="H258" s="1" t="d">
        <v>2025-12-30T23:59:08.000Z</v>
      </c>
      <c r="I258" t="str">
        <v/>
      </c>
      <c r="J258" t="str">
        <v/>
      </c>
      <c r="K258" t="str">
        <v/>
      </c>
    </row>
    <row r="259">
      <c r="A259" t="str">
        <v>BA2024-020-07</v>
      </c>
      <c r="B259" t="str">
        <v>Working Paper</v>
      </c>
      <c r="C259" t="str">
        <v>International Trend Analysis of Circular Economy Implementation Assessment</v>
      </c>
      <c r="D259" t="str">
        <v>Lim, Hyesook</v>
      </c>
      <c r="E259" t="str">
        <v>Circular Economy</v>
      </c>
      <c r="F259" t="str">
        <v/>
      </c>
      <c r="G259" s="1" t="d">
        <v>2024-09-01T23:59:08.000Z</v>
      </c>
      <c r="H259" s="1" t="d">
        <v>2025-02-27T23:59:08.000Z</v>
      </c>
      <c r="I259" t="str">
        <v/>
      </c>
      <c r="J259" t="str">
        <v/>
      </c>
      <c r="K259" t="str">
        <v/>
      </c>
    </row>
    <row r="260">
      <c r="A260" t="str">
        <v>BA2024-020-08</v>
      </c>
      <c r="B260" t="str">
        <v>Working Paper</v>
      </c>
      <c r="C260" t="str">
        <v>Global Policy Trends in Conservation and Sustainable Development of Islands</v>
      </c>
      <c r="D260" t="str">
        <v xml:space="preserve">Heo, Namjoo </v>
      </c>
      <c r="E260" t="str">
        <v>Land and Urban Environment</v>
      </c>
      <c r="F260" t="str">
        <v>Sustainable Development</v>
      </c>
      <c r="G260" s="1" t="d">
        <v>2024-09-01T23:59:08.000Z</v>
      </c>
      <c r="H260" s="1" t="d">
        <v>2025-02-27T23:59:08.000Z</v>
      </c>
      <c r="I260" t="str">
        <v/>
      </c>
      <c r="J260" t="str">
        <v/>
      </c>
      <c r="K260" t="str">
        <v/>
      </c>
    </row>
    <row r="261">
      <c r="A261" t="str">
        <v>BA2024-030-09</v>
      </c>
      <c r="B261" t="str">
        <v>Working Paper</v>
      </c>
      <c r="C261" t="str">
        <v>Basic Research for the Formulation of the 4th Basic Plan for Conservation of Natural Environment (2026-2035)</v>
      </c>
      <c r="D261" t="str">
        <v>Hong, Hyunjung</v>
      </c>
      <c r="E261" t="str">
        <v>Ecology</v>
      </c>
      <c r="F261" t="str">
        <v>Land and Urban Environment</v>
      </c>
      <c r="G261" s="1" t="d">
        <v>2024-12-01T23:59:08.000Z</v>
      </c>
      <c r="H261" s="1" t="d">
        <v>2025-03-30T23:59:08.000Z</v>
      </c>
      <c r="I261" t="str">
        <v/>
      </c>
      <c r="J261" t="str">
        <v/>
      </c>
      <c r="K261" t="str">
        <v/>
      </c>
    </row>
    <row r="262">
      <c r="A262" t="str">
        <v>BA2024-030-10</v>
      </c>
      <c r="B262" t="str">
        <v>Working Paper</v>
      </c>
      <c r="C262" t="str">
        <v>Analysis of Trends in the Application of Artificial Intelligence Technologies to Environmental Health Policy</v>
      </c>
      <c r="D262" t="str">
        <v xml:space="preserve"> Lim, Miyoung</v>
      </c>
      <c r="E262" t="str">
        <v>AI and Environmental Informatics</v>
      </c>
      <c r="F262" t="str">
        <v>Environmental Health</v>
      </c>
      <c r="G262" s="1" t="d">
        <v>2024-12-01T23:59:08.000Z</v>
      </c>
      <c r="H262" s="1" t="d">
        <v>2025-05-30T23:59:08.000Z</v>
      </c>
      <c r="I262" t="str">
        <v/>
      </c>
      <c r="J262" t="str">
        <v/>
      </c>
      <c r="K262" t="str">
        <v/>
      </c>
    </row>
    <row r="263">
      <c r="A263" t="str">
        <v>BA2024-030-11</v>
      </c>
      <c r="B263" t="str">
        <v>Working Paper</v>
      </c>
      <c r="C263" t="str">
        <v>Analysis of the Utilization of AI Methodologies for Estimating Causal Relationships between Air Pollutants</v>
      </c>
      <c r="D263" t="str">
        <v xml:space="preserve">Kim, Doyeon </v>
      </c>
      <c r="E263" t="str">
        <v>AI and Environmental Informatics</v>
      </c>
      <c r="F263" t="str">
        <v>Atmospheric Environment</v>
      </c>
      <c r="G263" s="1" t="d">
        <v>2024-12-01T23:59:08.000Z</v>
      </c>
      <c r="H263" s="1" t="d">
        <v>2025-05-30T23:59:08.000Z</v>
      </c>
      <c r="I263" t="str">
        <v/>
      </c>
      <c r="J263" t="str">
        <v/>
      </c>
      <c r="K263" t="str">
        <v/>
      </c>
    </row>
    <row r="264">
      <c r="A264" t="str">
        <v>BA2024-030-12</v>
      </c>
      <c r="B264" t="str">
        <v>Working Paper</v>
      </c>
      <c r="C264" t="str">
        <v>A Comparative Study of Predictive Models for Assessing River Aquatic Ecosystem Health</v>
      </c>
      <c r="D264" t="str">
        <v>Choi, Mikyoung</v>
      </c>
      <c r="E264" t="str">
        <v>Water Management</v>
      </c>
      <c r="F264" t="str">
        <v>Ecology</v>
      </c>
      <c r="G264" s="1" t="d">
        <v>2024-12-01T23:59:08.000Z</v>
      </c>
      <c r="H264" s="1" t="d">
        <v>2025-05-30T23:59:08.000Z</v>
      </c>
      <c r="I264" t="str">
        <v/>
      </c>
      <c r="J264" t="str">
        <v/>
      </c>
      <c r="K264" t="str">
        <v/>
      </c>
    </row>
    <row r="265">
      <c r="A265" t="str">
        <v>BA2024-030-13</v>
      </c>
      <c r="B265" t="str">
        <v>Working Paper</v>
      </c>
      <c r="C265" t="str">
        <v>Integrated Approach to Linking Ecological and Hydrological Reviews in Follow-up Surveys of Environmental Impacts for Effective Aquatic Ecosystem Management</v>
      </c>
      <c r="D265">
        <v>0</v>
      </c>
      <c r="E265" t="str">
        <v>Environmental Assessment</v>
      </c>
      <c r="F265" t="str">
        <v>Ecology</v>
      </c>
      <c r="G265" s="1" t="d">
        <v>2024-12-01T23:59:08.000Z</v>
      </c>
      <c r="H265" s="1" t="d">
        <v>2025-05-30T23:59:08.000Z</v>
      </c>
      <c r="I265" t="str">
        <v/>
      </c>
      <c r="J265" t="str">
        <v/>
      </c>
      <c r="K265" t="str">
        <v/>
      </c>
    </row>
    <row r="266">
      <c r="A266" t="str">
        <v>2026-001</v>
      </c>
      <c r="B266" t="str">
        <v xml:space="preserve">Commissioned Research </v>
      </c>
      <c r="C266" t="str">
        <v>2026 Climate Change Adaptation Project</v>
      </c>
      <c r="D266" t="str">
        <v>Jung, Huicheul</v>
      </c>
      <c r="E266" t="str">
        <v>Climate Adaptation</v>
      </c>
      <c r="F266" t="str">
        <v/>
      </c>
      <c r="G266" s="1" t="d">
        <v>2025-12-31T23:59:08.000Z</v>
      </c>
      <c r="H266" s="1" t="d">
        <v>2026-12-30T23:59:08.000Z</v>
      </c>
      <c r="I266" t="str">
        <v/>
      </c>
      <c r="J266" t="str">
        <v/>
      </c>
      <c r="K266" t="str">
        <v/>
      </c>
    </row>
    <row r="267">
      <c r="A267" t="str">
        <v>2026-001-01</v>
      </c>
      <c r="B267" t="str">
        <v xml:space="preserve">Commissioned Research </v>
      </c>
      <c r="C267" t="str">
        <v>National Climate Adaptation Planning and Support for Policy Mainstreaming</v>
      </c>
      <c r="D267" t="str">
        <v>Shin, Jiyoung</v>
      </c>
      <c r="E267" t="str">
        <v>Climate Adaptation</v>
      </c>
      <c r="F267" t="str">
        <v/>
      </c>
      <c r="G267" s="1" t="d">
        <v>2025-12-31T23:59:08.000Z</v>
      </c>
      <c r="H267" s="1" t="d">
        <v>2026-12-30T23:59:08.000Z</v>
      </c>
      <c r="I267" t="str">
        <v/>
      </c>
      <c r="J267" t="str">
        <v/>
      </c>
      <c r="K267" t="str">
        <v/>
      </c>
    </row>
    <row r="268">
      <c r="A268" t="str">
        <v>2026-001-02</v>
      </c>
      <c r="B268" t="str">
        <v xml:space="preserve">Commissioned Research </v>
      </c>
      <c r="C268" t="str">
        <v>Enhancing Local Climate Change Adaptation and Vulnerability Mitigation Strategies</v>
      </c>
      <c r="D268" t="str">
        <v>Cho, Hanna</v>
      </c>
      <c r="E268" t="str">
        <v>Climate Adaptation</v>
      </c>
      <c r="F268" t="str">
        <v/>
      </c>
      <c r="G268" s="1" t="d">
        <v>2025-12-31T23:59:08.000Z</v>
      </c>
      <c r="H268" s="1" t="d">
        <v>2026-12-30T23:59:08.000Z</v>
      </c>
      <c r="I268" t="str">
        <v/>
      </c>
      <c r="J268" t="str">
        <v/>
      </c>
      <c r="K268" t="str">
        <v/>
      </c>
    </row>
    <row r="269">
      <c r="A269" t="str">
        <v>2026-001-03</v>
      </c>
      <c r="B269" t="str">
        <v xml:space="preserve">Commissioned Research </v>
      </c>
      <c r="C269" t="str">
        <v>Enhancing the Adaptation Capacity of Stakeholders</v>
      </c>
      <c r="D269" t="str">
        <v>Cho, Hanna</v>
      </c>
      <c r="E269" t="str">
        <v>Climate Adaptation</v>
      </c>
      <c r="F269" t="str">
        <v>Socio-Environmental Interface</v>
      </c>
      <c r="G269" s="1" t="d">
        <v>2025-12-31T23:59:08.000Z</v>
      </c>
      <c r="H269" s="1" t="d">
        <v>2026-12-30T23:59:08.000Z</v>
      </c>
      <c r="I269" t="str">
        <v/>
      </c>
      <c r="J269" t="str">
        <v/>
      </c>
      <c r="K269" t="str">
        <v/>
      </c>
    </row>
    <row r="270">
      <c r="A270" t="str">
        <v>2026-001-04</v>
      </c>
      <c r="B270" t="str">
        <v xml:space="preserve">Commissioned Research </v>
      </c>
      <c r="C270" t="str">
        <v>Comprehensive Study and Research on Adaptation Policies</v>
      </c>
      <c r="D270" t="str">
        <v>Jung, Huicheul</v>
      </c>
      <c r="E270" t="str">
        <v>Climate Adaptation</v>
      </c>
      <c r="F270" t="str">
        <v/>
      </c>
      <c r="G270" s="1" t="d">
        <v>2025-12-31T23:59:08.000Z</v>
      </c>
      <c r="H270" s="1" t="d">
        <v>2026-12-30T23:59:08.000Z</v>
      </c>
      <c r="I270" t="str">
        <v/>
      </c>
      <c r="J270" t="str">
        <v/>
      </c>
      <c r="K270" t="str">
        <v/>
      </c>
    </row>
    <row r="271">
      <c r="A271" t="str">
        <v>2026-002</v>
      </c>
      <c r="B271" t="str">
        <v xml:space="preserve">Commissioned Research </v>
      </c>
      <c r="C271" t="str">
        <v>2026 Development and Management of National Land Environmental Assessment Maps</v>
      </c>
      <c r="D271" t="str">
        <v>Yoon, Jeongho</v>
      </c>
      <c r="E271" t="str">
        <v>Land and Urban Environment</v>
      </c>
      <c r="F271" t="str">
        <v>Environmental Assessment</v>
      </c>
      <c r="G271" s="1" t="d">
        <v>2025-12-31T23:59:08.000Z</v>
      </c>
      <c r="H271" s="1" t="d">
        <v>2026-12-30T23:59:08.000Z</v>
      </c>
      <c r="I271" t="str">
        <v/>
      </c>
      <c r="J271" t="str">
        <v/>
      </c>
      <c r="K271" t="str">
        <v/>
      </c>
    </row>
    <row r="272">
      <c r="A272" t="str">
        <v>2026-003</v>
      </c>
      <c r="B272" t="str">
        <v xml:space="preserve">Commissioned Research </v>
      </c>
      <c r="C272" t="str">
        <v>KOICA Climate Mainstreaming Strategy and Action Plan Development Consulting (Phase 3)</v>
      </c>
      <c r="D272" t="str">
        <v>Chang, Hoon</v>
      </c>
      <c r="E272" t="str">
        <v>Climate Adaptation</v>
      </c>
      <c r="F272" t="str">
        <v>International Environmental Collaboration</v>
      </c>
      <c r="G272" s="1" t="d">
        <v>2025-12-31T23:59:08.000Z</v>
      </c>
      <c r="H272" s="1" t="d">
        <v>2026-12-30T23:59:08.000Z</v>
      </c>
      <c r="I272" t="str">
        <v/>
      </c>
      <c r="J272" t="str">
        <v/>
      </c>
      <c r="K272" t="str">
        <v/>
      </c>
    </row>
    <row r="273">
      <c r="A273" t="str">
        <v>2026-004(R)</v>
      </c>
      <c r="B273" t="str">
        <v xml:space="preserve">Commissioned Research </v>
      </c>
      <c r="C273" t="str">
        <v>Developing Quantitative Assessment Techniques for Wetland Ecosystem Services and Value (Year 5)</v>
      </c>
      <c r="D273" t="str">
        <v>Kim, Hyunno</v>
      </c>
      <c r="E273" t="str">
        <v>Environmental Economics</v>
      </c>
      <c r="F273" t="str">
        <v>Ecology</v>
      </c>
      <c r="G273" s="1" t="d">
        <v>2025-12-31T23:59:08.000Z</v>
      </c>
      <c r="H273" s="1" t="d">
        <v>2026-03-07T23:59:08.000Z</v>
      </c>
      <c r="I273" t="str">
        <v/>
      </c>
      <c r="J273" t="str">
        <v/>
      </c>
      <c r="K273" t="str">
        <v/>
      </c>
    </row>
    <row r="274">
      <c r="A274" t="str">
        <v>2026-005(R)</v>
      </c>
      <c r="B274" t="str">
        <v xml:space="preserve">Commissioned Research </v>
      </c>
      <c r="C274" t="str">
        <v>Development of an AI-Based Decision Support System for Maritime Search and Rescue (Year 5)</v>
      </c>
      <c r="D274" t="str">
        <v>Kim, Choong-ki</v>
      </c>
      <c r="E274" t="str">
        <v>Marine Environment</v>
      </c>
      <c r="F274" t="str">
        <v>AI and Environmental Informatics</v>
      </c>
      <c r="G274" s="1" t="d">
        <v>2025-12-31T23:59:08.000Z</v>
      </c>
      <c r="H274" s="1" t="d">
        <v>2026-12-30T23:59:08.000Z</v>
      </c>
      <c r="I274" t="str">
        <v/>
      </c>
      <c r="J274" t="str">
        <v/>
      </c>
      <c r="K274" t="str">
        <v/>
      </c>
    </row>
    <row r="275">
      <c r="A275" t="str">
        <v>2026-006(R)</v>
      </c>
      <c r="B275" t="str">
        <v xml:space="preserve">Commissioned Research </v>
      </c>
      <c r="C275" t="str">
        <v>Development and Application of an Integrated Impact Assessment Platform for Decision-Making in Climate Change Adaptation (Year 5)</v>
      </c>
      <c r="D275" t="str">
        <v>Song, Youngil</v>
      </c>
      <c r="E275" t="str">
        <v>Climate Adaptation</v>
      </c>
      <c r="F275" t="str">
        <v>AI and Environmental Informatics</v>
      </c>
      <c r="G275" s="1" t="d">
        <v>2025-12-31T23:59:08.000Z</v>
      </c>
      <c r="H275" s="1" t="d">
        <v>2026-12-30T23:59:08.000Z</v>
      </c>
      <c r="I275" t="str">
        <v/>
      </c>
      <c r="J275" t="str">
        <v/>
      </c>
      <c r="K275" t="str">
        <v/>
      </c>
    </row>
    <row r="276">
      <c r="A276" t="str">
        <v>2026-006(R)-01</v>
      </c>
      <c r="B276" t="str">
        <v xml:space="preserve">Commissioned Research </v>
      </c>
      <c r="C276" t="str">
        <v>Developing a Decision-Support Module for Adaptation Strategy Selection and Risk Mitigation Evaluation (Phase 5)</v>
      </c>
      <c r="D276" t="str">
        <v>Song, Youngil</v>
      </c>
      <c r="E276" t="str">
        <v>Climate Adaptation</v>
      </c>
      <c r="F276" t="str">
        <v>AI and Environmental Informatics</v>
      </c>
      <c r="G276" s="1" t="d">
        <v>2025-12-31T23:59:08.000Z</v>
      </c>
      <c r="H276" s="1" t="d">
        <v>2026-12-30T23:59:08.000Z</v>
      </c>
      <c r="I276" t="str">
        <v/>
      </c>
      <c r="J276" t="str">
        <v/>
      </c>
      <c r="K276" t="str">
        <v/>
      </c>
    </row>
    <row r="277">
      <c r="A277" t="str">
        <v>2026-006(R)-02</v>
      </c>
      <c r="B277" t="str">
        <v xml:space="preserve">Commissioned Research </v>
      </c>
      <c r="C277" t="str">
        <v>Developing a Regional Water Management System for Climate Change Impact and Risk Evaluation (Phase 5)</v>
      </c>
      <c r="D277" t="str">
        <v>Ahn, Jongho</v>
      </c>
      <c r="E277" t="str">
        <v>Water Management</v>
      </c>
      <c r="F277" t="str">
        <v>Climate Adaptation</v>
      </c>
      <c r="G277" s="1" t="d">
        <v>2025-12-31T23:59:08.000Z</v>
      </c>
      <c r="H277" s="1" t="d">
        <v>2026-12-30T23:59:08.000Z</v>
      </c>
      <c r="I277" t="str">
        <v/>
      </c>
      <c r="J277" t="str">
        <v/>
      </c>
      <c r="K277" t="str">
        <v/>
      </c>
    </row>
    <row r="278">
      <c r="A278" t="str">
        <v>2026-007(R)</v>
      </c>
      <c r="B278" t="str">
        <v xml:space="preserve">Commissioned Research </v>
      </c>
      <c r="C278" t="str">
        <v>Global Power Sector Modeling for Advancing Carbon Neutrality (Year 5)</v>
      </c>
      <c r="D278" t="str">
        <v>Chang, Hoon</v>
      </c>
      <c r="E278" t="str">
        <v>Carbon Neutrality and Energy</v>
      </c>
      <c r="F278" t="str">
        <v>International Environmental Collaboration</v>
      </c>
      <c r="G278" s="1" t="d">
        <v>2025-12-31T23:59:08.000Z</v>
      </c>
      <c r="H278" s="1" t="d">
        <v>2026-12-30T23:59:08.000Z</v>
      </c>
      <c r="I278" t="str">
        <v/>
      </c>
      <c r="J278" t="str">
        <v/>
      </c>
      <c r="K278" t="str">
        <v/>
      </c>
    </row>
    <row r="279">
      <c r="A279" t="str">
        <v>2026-008(R)</v>
      </c>
      <c r="B279" t="str">
        <v xml:space="preserve">Commissioned Research </v>
      </c>
      <c r="C279" t="str">
        <v>Evaluation of Urban Climate Resilience Technologies and Development of a Decision Support System (Year 5)</v>
      </c>
      <c r="D279" t="str">
        <v>Jung, Huicheul</v>
      </c>
      <c r="E279" t="str">
        <v>Climate Adaptation</v>
      </c>
      <c r="F279" t="str">
        <v>AI and Environmental Informatics</v>
      </c>
      <c r="G279" s="1" t="d">
        <v>2025-12-31T23:59:08.000Z</v>
      </c>
      <c r="H279" s="1" t="d">
        <v>2026-12-30T23:59:08.000Z</v>
      </c>
      <c r="I279" t="str">
        <v/>
      </c>
      <c r="J279" t="str">
        <v/>
      </c>
      <c r="K279" t="str">
        <v/>
      </c>
    </row>
    <row r="280">
      <c r="A280" t="str">
        <v>2026-009(R)</v>
      </c>
      <c r="B280" t="str">
        <v xml:space="preserve">Commissioned Research </v>
      </c>
      <c r="C280" t="str">
        <v>Developing an AOP-Based Integrated Testing and Assessment Approach (ITS/IATA) for Complex Human Toxicity Evaluation of Mixtures in Consumer Chemical Products (Year 4)</v>
      </c>
      <c r="D280" t="str">
        <v xml:space="preserve">Jung, Dawoon </v>
      </c>
      <c r="E280" t="str">
        <v>Environmental Health</v>
      </c>
      <c r="F280" t="str">
        <v>Sustainable Development</v>
      </c>
      <c r="G280" s="1" t="d">
        <v>2025-12-31T23:59:08.000Z</v>
      </c>
      <c r="H280" s="1" t="d">
        <v>2026-12-30T23:59:08.000Z</v>
      </c>
      <c r="I280" t="str">
        <v/>
      </c>
      <c r="J280" t="str">
        <v/>
      </c>
      <c r="K280" t="str">
        <v/>
      </c>
    </row>
    <row r="281">
      <c r="A281" t="str">
        <v>2026-010(R)</v>
      </c>
      <c r="B281" t="str">
        <v xml:space="preserve">Commissioned Research </v>
      </c>
      <c r="C281" t="str">
        <v>Development and Application of Techniques for Water Scarcity Damage Analysis and Socioeconomic Valuation of Water Supply (Year 4)</v>
      </c>
      <c r="D281" t="str">
        <v>Lee, Moonhwan</v>
      </c>
      <c r="E281" t="str">
        <v>Water Management</v>
      </c>
      <c r="F281" t="str">
        <v>Environmental Economics</v>
      </c>
      <c r="G281" s="1" t="d">
        <v>2025-12-31T23:59:08.000Z</v>
      </c>
      <c r="H281" s="1" t="d">
        <v>2026-12-30T23:59:08.000Z</v>
      </c>
      <c r="I281" t="str">
        <v/>
      </c>
      <c r="J281" t="str">
        <v/>
      </c>
      <c r="K281" t="str">
        <v/>
      </c>
    </row>
    <row r="282">
      <c r="A282" t="str">
        <v>2026-011(R)</v>
      </c>
      <c r="B282" t="str">
        <v xml:space="preserve">Commissioned Research </v>
      </c>
      <c r="C282" t="str">
        <v>Developing Technologies for Assessing and Predicting Wetland Ecosystem Responses to Climate Change (Year 5)</v>
      </c>
      <c r="D282" t="str">
        <v>Myeong, Soojeong</v>
      </c>
      <c r="E282" t="str">
        <v>Ecology</v>
      </c>
      <c r="F282" t="str">
        <v>Climate Adaptation</v>
      </c>
      <c r="G282" s="1" t="d">
        <v>2025-12-31T23:59:08.000Z</v>
      </c>
      <c r="H282" s="1" t="d">
        <v>2026-12-30T23:59:08.000Z</v>
      </c>
      <c r="I282" t="str">
        <v/>
      </c>
      <c r="J282" t="str">
        <v/>
      </c>
      <c r="K282" t="str">
        <v/>
      </c>
    </row>
    <row r="283">
      <c r="A283" t="str">
        <v>2026-012(R)</v>
      </c>
      <c r="B283" t="str">
        <v xml:space="preserve">Commissioned Research </v>
      </c>
      <c r="C283" t="str">
        <v>Developing AI-Based Practical Tools for Urban Flood Risk Prediction and Assessment (Year 3)</v>
      </c>
      <c r="D283" t="str">
        <v>Lee, Moonhwan</v>
      </c>
      <c r="E283" t="str">
        <v>Water Management</v>
      </c>
      <c r="F283" t="str">
        <v>AI and Environmental Informatics</v>
      </c>
      <c r="G283" s="1" t="d">
        <v>2025-12-31T23:59:08.000Z</v>
      </c>
      <c r="H283" s="1" t="d">
        <v>2026-12-30T23:59:08.000Z</v>
      </c>
      <c r="I283" t="str">
        <v/>
      </c>
      <c r="J283" t="str">
        <v/>
      </c>
      <c r="K283" t="str">
        <v/>
      </c>
    </row>
    <row r="284">
      <c r="A284" t="str">
        <v>2026-013(R)</v>
      </c>
      <c r="B284" t="str">
        <v xml:space="preserve">Commissioned Research </v>
      </c>
      <c r="C284" t="str">
        <v>Developing an Integrated Management Platform for Carbon Sinks Incorporating Ecosystem Services (Year 4)</v>
      </c>
      <c r="D284" t="str">
        <v>Myeong, Soojeong</v>
      </c>
      <c r="E284" t="str">
        <v>Carbon Neutrality and Energy</v>
      </c>
      <c r="F284" t="str">
        <v>Ecology</v>
      </c>
      <c r="G284" s="1" t="d">
        <v>2025-12-31T23:59:08.000Z</v>
      </c>
      <c r="H284" s="1" t="d">
        <v>2026-12-30T23:59:08.000Z</v>
      </c>
      <c r="I284" t="str">
        <v/>
      </c>
      <c r="J284" t="str">
        <v/>
      </c>
      <c r="K284" t="str">
        <v/>
      </c>
    </row>
    <row r="285">
      <c r="A285" t="str">
        <v>2026-014(R)</v>
      </c>
      <c r="B285" t="str">
        <v xml:space="preserve">Commissioned Research </v>
      </c>
      <c r="C285" t="str">
        <v>Developing Impact Assessment and Management Technologies for Hazardous Emissions from Marine Industrial Facilities (Year 6)</v>
      </c>
      <c r="D285" t="str">
        <v>Kim, Taeyun</v>
      </c>
      <c r="E285" t="str">
        <v>Environmental Assessment</v>
      </c>
      <c r="F285" t="str">
        <v>Marine Environment</v>
      </c>
      <c r="G285" s="1" t="d">
        <v>2025-12-31T23:59:08.000Z</v>
      </c>
      <c r="H285" s="1" t="d">
        <v>2026-12-30T23:59:08.000Z</v>
      </c>
      <c r="I285" t="str">
        <v/>
      </c>
      <c r="J285" t="str">
        <v/>
      </c>
      <c r="K285" t="str">
        <v/>
      </c>
    </row>
    <row r="286">
      <c r="A286" t="str">
        <v>2026-015(R)</v>
      </c>
      <c r="B286" t="str">
        <v xml:space="preserve">Commissioned Research </v>
      </c>
      <c r="C286" t="str">
        <v>Developing Technologies to Build an Observation-Based GHG Spatial Information Mapping Platform (Year 4)</v>
      </c>
      <c r="D286" t="str">
        <v>Lee, Seungmin</v>
      </c>
      <c r="E286" t="str">
        <v>Carbon Neutrality and Energy</v>
      </c>
      <c r="F286" t="str">
        <v>AI and Environmental Informatics</v>
      </c>
      <c r="G286" s="1" t="d">
        <v>2025-12-31T23:59:08.000Z</v>
      </c>
      <c r="H286" s="1" t="d">
        <v>2026-12-30T23:59:08.000Z</v>
      </c>
      <c r="I286" t="str">
        <v/>
      </c>
      <c r="J286" t="str">
        <v/>
      </c>
      <c r="K286" t="str">
        <v/>
      </c>
    </row>
    <row r="287">
      <c r="A287" t="str">
        <v>2026-016(R)</v>
      </c>
      <c r="B287" t="str">
        <v xml:space="preserve">Commissioned Research </v>
      </c>
      <c r="C287" t="str">
        <v>Developing Technologies for Assessing and Predicting the Impacts of Turbidity on Aquatic Ecosystems (Year 6)</v>
      </c>
      <c r="D287" t="str">
        <v>Choi, Mikyoung</v>
      </c>
      <c r="E287" t="str">
        <v>Water Management</v>
      </c>
      <c r="F287" t="str">
        <v>Ecology</v>
      </c>
      <c r="G287" s="1" t="d">
        <v>2025-12-31T23:59:08.000Z</v>
      </c>
      <c r="H287" s="1" t="d">
        <v>2026-12-30T23:59:08.000Z</v>
      </c>
      <c r="I287" t="str">
        <v/>
      </c>
      <c r="J287" t="str">
        <v/>
      </c>
      <c r="K287" t="str">
        <v/>
      </c>
    </row>
    <row r="288">
      <c r="A288" t="str">
        <v>2026-017(R)</v>
      </c>
      <c r="B288" t="str">
        <v xml:space="preserve">Commissioned Research </v>
      </c>
      <c r="C288" t="str">
        <v>Development of Technologies for Assessing Flood Safety of Longitudinal River Water Infrastructure Considering Physical Changes in River Environments (Year 3)</v>
      </c>
      <c r="D288" t="str">
        <v>Kang, Hyeongsik</v>
      </c>
      <c r="E288" t="str">
        <v>Water Management</v>
      </c>
      <c r="F288" t="str">
        <v>Climate Adaptation</v>
      </c>
      <c r="G288" s="1" t="d">
        <v>2025-12-31T23:59:08.000Z</v>
      </c>
      <c r="H288" s="1" t="d">
        <v>2026-12-30T23:59:08.000Z</v>
      </c>
      <c r="I288" t="str">
        <v/>
      </c>
      <c r="J288" t="str">
        <v/>
      </c>
      <c r="K288" t="str">
        <v/>
      </c>
    </row>
    <row r="289">
      <c r="A289" t="str">
        <v>2026-018(R)</v>
      </c>
      <c r="B289" t="str">
        <v xml:space="preserve">Commissioned Research </v>
      </c>
      <c r="C289" t="str">
        <v>Evaluation of Greenhouse Gas Reduction under the 2030 NDC in the Agriculture and Livestock Sector (Year 3)</v>
      </c>
      <c r="D289" t="str">
        <v>Myeong, Soojeong</v>
      </c>
      <c r="E289" t="str">
        <v>Carbon Neutrality and Energy</v>
      </c>
      <c r="F289" t="str">
        <v>Climate Adaptation</v>
      </c>
      <c r="G289" s="1" t="d">
        <v>2025-12-31T23:59:08.000Z</v>
      </c>
      <c r="H289" s="1" t="d">
        <v>2026-12-30T23:59:08.000Z</v>
      </c>
      <c r="I289" t="str">
        <v/>
      </c>
      <c r="J289" t="str">
        <v/>
      </c>
      <c r="K289" t="str">
        <v/>
      </c>
    </row>
    <row r="290">
      <c r="A290" t="str">
        <v>2026-019(R)</v>
      </c>
      <c r="B290" t="str">
        <v xml:space="preserve">Commissioned Research </v>
      </c>
      <c r="C290" t="str">
        <v>Development of Management Technologies for Persistent Pollutants in the Marine Environment (Year 3)</v>
      </c>
      <c r="D290" t="str">
        <v>Jeong, Yunsun</v>
      </c>
      <c r="E290" t="str">
        <v>Marine Environment</v>
      </c>
      <c r="F290" t="str">
        <v>Environmental Health</v>
      </c>
      <c r="G290" s="1" t="d">
        <v>2025-12-31T23:59:08.000Z</v>
      </c>
      <c r="H290" s="1" t="d">
        <v>2026-12-30T23:59:08.000Z</v>
      </c>
      <c r="I290" t="str">
        <v/>
      </c>
      <c r="J290" t="str">
        <v/>
      </c>
      <c r="K290" t="str">
        <v/>
      </c>
    </row>
    <row r="291">
      <c r="A291" t="str">
        <v>2026-020(R)</v>
      </c>
      <c r="B291" t="str">
        <v xml:space="preserve">Commissioned Research </v>
      </c>
      <c r="C291" t="str">
        <v>Development of Adaptation Strategies for Marine Environments in Response to Subtropicalization: Scenarios, Solutions, and Utilization (Year 2)</v>
      </c>
      <c r="D291" t="str">
        <v xml:space="preserve">Koo, Kyung Ah </v>
      </c>
      <c r="E291" t="str">
        <v>Climate Adaptation</v>
      </c>
      <c r="F291" t="str">
        <v>Marine Environment</v>
      </c>
      <c r="G291" s="1" t="d">
        <v>2025-12-31T23:59:08.000Z</v>
      </c>
      <c r="H291" s="1" t="d">
        <v>2026-12-30T23:59:08.000Z</v>
      </c>
      <c r="I291" t="str">
        <v/>
      </c>
      <c r="J291" t="str">
        <v/>
      </c>
      <c r="K291" t="str">
        <v/>
      </c>
    </row>
    <row r="292">
      <c r="A292" t="str">
        <v>2026-021(R)</v>
      </c>
      <c r="B292" t="str">
        <v xml:space="preserve">Commissioned Research </v>
      </c>
      <c r="C292" t="str">
        <v>Developing Assessment Indicators and Valuation Technologies for Aquatic Ecosystem Services (Year 2)</v>
      </c>
      <c r="D292" t="str">
        <v>Kim, Hyunno</v>
      </c>
      <c r="E292" t="str">
        <v>Environmental Economics</v>
      </c>
      <c r="F292" t="str">
        <v>Ecology</v>
      </c>
      <c r="G292" s="1" t="d">
        <v>2025-12-31T23:59:08.000Z</v>
      </c>
      <c r="H292" s="1" t="d">
        <v>2026-12-30T23:59:08.000Z</v>
      </c>
      <c r="I292" t="str">
        <v/>
      </c>
      <c r="J292" t="str">
        <v/>
      </c>
      <c r="K292" t="str">
        <v/>
      </c>
    </row>
    <row r="293">
      <c r="A293" t="str">
        <v>2026-022(R)</v>
      </c>
      <c r="B293" t="str">
        <v xml:space="preserve">Commissioned Research </v>
      </c>
      <c r="C293" t="str">
        <v>Developing Policy Evaluation Techniques Using Citizen, Social, Economic, and Environmental Data for Citizen-Participatory Climate Adaptation (Year 2)</v>
      </c>
      <c r="D293" t="str">
        <v>Chae, Yeora</v>
      </c>
      <c r="E293" t="str">
        <v>Climate Adaptation</v>
      </c>
      <c r="F293" t="str">
        <v>Socio-Environmental Interface</v>
      </c>
      <c r="G293" s="1" t="d">
        <v>2025-12-31T23:59:08.000Z</v>
      </c>
      <c r="H293" s="1" t="d">
        <v>2026-12-30T23:59:08.000Z</v>
      </c>
      <c r="I293" t="str">
        <v/>
      </c>
      <c r="J293" t="str">
        <v/>
      </c>
      <c r="K293" t="str">
        <v/>
      </c>
    </row>
    <row r="294">
      <c r="A294" t="str">
        <v>2026-023(R)</v>
      </c>
      <c r="B294" t="str">
        <v xml:space="preserve">Commissioned Research </v>
      </c>
      <c r="C294" t="str">
        <v>Establishment of a Standardization Foundation for Smart and Sustainable Cities and Communities and Development of International Standards Related to Carbon-neutral Cities (Year 2)</v>
      </c>
      <c r="D294" t="str">
        <v xml:space="preserve">Song, Jiyoon </v>
      </c>
      <c r="E294" t="str">
        <v>Land and Urban Environment</v>
      </c>
      <c r="F294" t="str">
        <v>Carbon Neutrality and Energy</v>
      </c>
      <c r="G294" s="1" t="d">
        <v>2025-12-31T23:59:08.000Z</v>
      </c>
      <c r="H294" s="1" t="d">
        <v>2026-12-30T23:59:08.000Z</v>
      </c>
      <c r="I294" t="str">
        <v/>
      </c>
      <c r="J294" t="str">
        <v/>
      </c>
      <c r="K294" t="str">
        <v/>
      </c>
    </row>
    <row r="295">
      <c r="A295" t="str">
        <v>2026-024(R)</v>
      </c>
      <c r="B295" t="str">
        <v xml:space="preserve">Commissioned Research </v>
      </c>
      <c r="C295" t="str">
        <v>Development of Disaster Risk Analysis Technology for Steep Slopes Considering Ground Displacement (Year 2)</v>
      </c>
      <c r="D295" t="str">
        <v xml:space="preserve">Lee, Seungsoo </v>
      </c>
      <c r="E295" t="str">
        <v>Water Management</v>
      </c>
      <c r="F295" t="str">
        <v/>
      </c>
      <c r="G295" s="1" t="d">
        <v>2025-12-31T23:59:08.000Z</v>
      </c>
      <c r="H295" s="1" t="d">
        <v>2026-12-30T23:59:08.000Z</v>
      </c>
      <c r="I295" t="str">
        <v/>
      </c>
      <c r="J295" t="str">
        <v/>
      </c>
      <c r="K295" t="str">
        <v/>
      </c>
    </row>
    <row r="296">
      <c r="A296" t="str">
        <v>2026-025(R)</v>
      </c>
      <c r="B296" t="str">
        <v xml:space="preserve">Commissioned Research </v>
      </c>
      <c r="C296" t="str">
        <v>Enhancing the Implementation of WMO’s Integrated Global Greenhouse Gas Information System (IG³IS) (Year 3)</v>
      </c>
      <c r="D296" t="str">
        <v xml:space="preserve">Han, Jihyun </v>
      </c>
      <c r="E296" t="str">
        <v>Carbon Neutrality and Energy</v>
      </c>
      <c r="F296" t="str">
        <v>International Environmental Collaboration</v>
      </c>
      <c r="G296" s="1" t="d">
        <v>2025-12-31T23:59:08.000Z</v>
      </c>
      <c r="H296" s="1" t="d">
        <v>2026-12-30T23:59:08.000Z</v>
      </c>
      <c r="I296" t="str">
        <v/>
      </c>
      <c r="J296" t="str">
        <v/>
      </c>
      <c r="K296" t="str">
        <v/>
      </c>
    </row>
    <row r="297">
      <c r="A297" t="str">
        <v>2026-026(R)</v>
      </c>
      <c r="B297" t="str">
        <v xml:space="preserve">Commissioned Research </v>
      </c>
      <c r="C297" t="str">
        <v>Technology Development for Supporting Carbon Mapping-Based Planning (Year 4)</v>
      </c>
      <c r="D297" t="str">
        <v xml:space="preserve">Kim, Geunhan </v>
      </c>
      <c r="E297" t="str">
        <v>Carbon Neutrality and Energy</v>
      </c>
      <c r="F297" t="str">
        <v>Land and Urban Environment</v>
      </c>
      <c r="G297" s="1" t="d">
        <v>2025-12-31T23:59:08.000Z</v>
      </c>
      <c r="H297" s="1" t="d">
        <v>2026-12-30T23:59:08.000Z</v>
      </c>
      <c r="I297" t="str">
        <v/>
      </c>
      <c r="J297" t="str">
        <v/>
      </c>
      <c r="K297" t="str">
        <v/>
      </c>
    </row>
    <row r="298">
      <c r="A298" t="str">
        <v>2026-027(R)</v>
      </c>
      <c r="B298" t="str">
        <v xml:space="preserve">Commissioned Research </v>
      </c>
      <c r="C298" t="str">
        <v>BiodivAID: Advanced Biodiversity AI-driven Assessment Platform for Informed Environmental Decision-Making  (Year 2)</v>
      </c>
      <c r="D298" t="str">
        <v>Choi, Yuyoung</v>
      </c>
      <c r="E298" t="str">
        <v>AI and Environmental Informatics</v>
      </c>
      <c r="F298" t="str">
        <v>Ecology</v>
      </c>
      <c r="G298" s="1" t="d">
        <v>2025-12-31T23:59:08.000Z</v>
      </c>
      <c r="H298" s="1" t="d">
        <v>2026-12-30T23:59:08.000Z</v>
      </c>
      <c r="I298" t="str">
        <v/>
      </c>
      <c r="J298" t="str">
        <v/>
      </c>
      <c r="K298" t="str">
        <v/>
      </c>
    </row>
    <row r="299">
      <c r="A299" t="str">
        <v>2026-028(R)</v>
      </c>
      <c r="B299" t="str">
        <v xml:space="preserve">Commissioned Research </v>
      </c>
      <c r="C299" t="str">
        <v>Development of Smart Survey Technology for Areas Vulnerable to Landslides (Year 2)</v>
      </c>
      <c r="D299" t="str">
        <v xml:space="preserve">Kim, Geunhan </v>
      </c>
      <c r="E299" t="str">
        <v>Land and Urban Environment</v>
      </c>
      <c r="F299" t="str">
        <v>AI and Environmental Informatics</v>
      </c>
      <c r="G299" s="1" t="d">
        <v>2025-12-31T23:59:08.000Z</v>
      </c>
      <c r="H299" s="1" t="d">
        <v>2026-12-30T23:59:08.000Z</v>
      </c>
      <c r="I299" t="str">
        <v/>
      </c>
      <c r="J299" t="str">
        <v/>
      </c>
      <c r="K299" t="str">
        <v/>
      </c>
    </row>
    <row r="300">
      <c r="A300" t="str">
        <v>2026-029(R)</v>
      </c>
      <c r="B300" t="str">
        <v xml:space="preserve">Commissioned Research </v>
      </c>
      <c r="C300" t="str">
        <v>Flood Risk Assessment for Underground Spaces and Development of Flood Mitigation Facilities Tailored to Korea (Year 2)</v>
      </c>
      <c r="D300" t="str">
        <v xml:space="preserve">Lee, Seungsoo </v>
      </c>
      <c r="E300" t="str">
        <v>Water Management</v>
      </c>
      <c r="F300" t="str">
        <v/>
      </c>
      <c r="G300" s="1" t="d">
        <v>2025-12-31T23:59:08.000Z</v>
      </c>
      <c r="H300" s="1" t="d">
        <v>2026-12-30T23:59:08.000Z</v>
      </c>
      <c r="I300" t="str">
        <v/>
      </c>
      <c r="J300" t="str">
        <v/>
      </c>
      <c r="K300" t="str">
        <v/>
      </c>
    </row>
    <row r="301">
      <c r="A301" t="str">
        <v>2026-031</v>
      </c>
      <c r="B301" t="str">
        <v xml:space="preserve">Commissioned Research </v>
      </c>
      <c r="C301" t="str">
        <v>Study on the Health Effects of Fine Dust and Other Air Pollutants Using a Large-Scale Cohort Study</v>
      </c>
      <c r="D301" t="str">
        <v>Kang, Sungwon</v>
      </c>
      <c r="E301" t="str">
        <v>Environmental Health</v>
      </c>
      <c r="F301" t="str">
        <v>Atmospheric Environment</v>
      </c>
      <c r="G301" s="1" t="d">
        <v>2025-12-31T23:59:08.000Z</v>
      </c>
      <c r="H301" s="1" t="d">
        <v>2026-12-30T23:59:08.000Z</v>
      </c>
      <c r="I301" t="str">
        <v/>
      </c>
      <c r="J301" t="str">
        <v/>
      </c>
      <c r="K301" t="str">
        <v/>
      </c>
    </row>
    <row r="302">
      <c r="A302" t="str">
        <v>2026-032(R)</v>
      </c>
      <c r="B302" t="str">
        <v xml:space="preserve">Commissioned Research </v>
      </c>
      <c r="C302" t="str">
        <v>Core Technology Development for Groundwater Dam Integration to Diversify Water Resources</v>
      </c>
      <c r="D302" t="str">
        <v>Hyun, Yunjung</v>
      </c>
      <c r="E302" t="str">
        <v>Water Management</v>
      </c>
      <c r="F302" t="str">
        <v>Climate Adaptation</v>
      </c>
      <c r="G302" s="1" t="d">
        <v>2025-12-31T23:59:08.000Z</v>
      </c>
      <c r="H302" s="1" t="d">
        <v>2026-12-30T23:59:08.000Z</v>
      </c>
      <c r="I302" t="str">
        <v/>
      </c>
      <c r="J302" t="str">
        <v/>
      </c>
      <c r="K302" t="str">
        <v/>
      </c>
    </row>
    <row r="303">
      <c r="A303" t="str">
        <v>2026-033</v>
      </c>
      <c r="B303" t="str">
        <v xml:space="preserve">Commissioned Research </v>
      </c>
      <c r="C303" t="str">
        <v>Environmental Health Big Data Information Center (Year 2)</v>
      </c>
      <c r="D303" t="str">
        <v>Bae, Hyun-Joo</v>
      </c>
      <c r="E303" t="str">
        <v>Environmental Health</v>
      </c>
      <c r="F303" t="str">
        <v>AI and Environmental Informatics</v>
      </c>
      <c r="G303" s="1" t="d">
        <v>2025-12-31T23:59:08.000Z</v>
      </c>
      <c r="H303" s="1" t="d">
        <v>2026-12-30T23:59:08.000Z</v>
      </c>
      <c r="I303" t="str">
        <v/>
      </c>
      <c r="J303" t="str">
        <v/>
      </c>
      <c r="K303" t="str">
        <v/>
      </c>
    </row>
    <row r="304">
      <c r="A304" t="str">
        <v>GP2026-01</v>
      </c>
      <c r="B304" t="str">
        <v>General Project</v>
      </c>
      <c r="C304" t="str">
        <v>Management of the Global Environmental Information Center</v>
      </c>
      <c r="D304" t="str">
        <v>Park, Jun Hyun</v>
      </c>
      <c r="E304" t="str">
        <v>International Environmental Collaboration</v>
      </c>
      <c r="F304" t="str">
        <v/>
      </c>
      <c r="G304" s="1" t="d">
        <v>2025-12-31T23:59:08.000Z</v>
      </c>
      <c r="H304" s="1" t="d">
        <v>2026-12-30T23:59:08.000Z</v>
      </c>
      <c r="I304" t="str">
        <v/>
      </c>
      <c r="J304" t="str">
        <v/>
      </c>
      <c r="K304" t="str">
        <v/>
      </c>
    </row>
    <row r="305">
      <c r="A305" t="str">
        <v>GP2026-02</v>
      </c>
      <c r="B305" t="str">
        <v>General Project</v>
      </c>
      <c r="C305" t="str">
        <v>Management of the National Land Environmental Information Network System</v>
      </c>
      <c r="D305" t="str">
        <v>Yoon, Jeongho</v>
      </c>
      <c r="E305" t="str">
        <v>Land and Urban Environment</v>
      </c>
      <c r="F305" t="str">
        <v>AI and Environmental Informatics</v>
      </c>
      <c r="G305" s="1" t="d">
        <v>2025-12-31T23:59:08.000Z</v>
      </c>
      <c r="H305" s="1" t="d">
        <v>2026-12-30T23:59:08.000Z</v>
      </c>
      <c r="I305" t="str">
        <v/>
      </c>
      <c r="J305" t="str">
        <v/>
      </c>
      <c r="K305" t="str">
        <v/>
      </c>
    </row>
    <row r="306">
      <c r="A306" t="str">
        <v>GP2026-03</v>
      </c>
      <c r="B306" t="str">
        <v>General Project</v>
      </c>
      <c r="C306" t="str">
        <v>KEI Environmental Policy Education Center</v>
      </c>
      <c r="D306" t="str">
        <v>Kim, Dokyun</v>
      </c>
      <c r="E306" t="str">
        <v>Socio-Environmental Interface</v>
      </c>
      <c r="F306" t="str">
        <v>AI and Environmental Informatics</v>
      </c>
      <c r="G306" s="1" t="d">
        <v>2025-12-31T23:59:08.000Z</v>
      </c>
      <c r="H306" s="1" t="d">
        <v>2026-12-30T23:59:08.000Z</v>
      </c>
      <c r="I306" t="str">
        <v/>
      </c>
      <c r="J306" t="str">
        <v/>
      </c>
      <c r="K306" t="str">
        <v/>
      </c>
    </row>
    <row r="307">
      <c r="A307" t="str">
        <v>GP2026-04</v>
      </c>
      <c r="B307" t="str">
        <v>General Project</v>
      </c>
      <c r="C307" t="str">
        <v>Building and Assessing Adaptive Capacity to Climate Change for the National Risk Management</v>
      </c>
      <c r="D307" t="str">
        <v>Jung, Huicheul</v>
      </c>
      <c r="E307" t="str">
        <v>Climate Adaptation</v>
      </c>
      <c r="F307" t="str">
        <v/>
      </c>
      <c r="G307" s="1" t="d">
        <v>2025-12-31T23:59:08.000Z</v>
      </c>
      <c r="H307" s="1" t="d">
        <v>2026-12-30T23:59:08.000Z</v>
      </c>
      <c r="I307" t="str">
        <v/>
      </c>
      <c r="J307" t="str">
        <v/>
      </c>
      <c r="K307" t="str">
        <v/>
      </c>
    </row>
    <row r="308">
      <c r="A308" t="str">
        <v>GP2026-05</v>
      </c>
      <c r="B308" t="str">
        <v>General Project</v>
      </c>
      <c r="C308" t="str">
        <v>Environmental Assessment Monitoring Project</v>
      </c>
      <c r="D308" t="str">
        <v>Lee, Sangbum</v>
      </c>
      <c r="E308" t="str">
        <v>Environmental Assessment</v>
      </c>
      <c r="F308" t="str">
        <v/>
      </c>
      <c r="G308" s="1" t="d">
        <v>2025-12-31T23:59:08.000Z</v>
      </c>
      <c r="H308" s="1" t="d">
        <v>2026-12-30T23:59:08.000Z</v>
      </c>
      <c r="I308" t="str">
        <v/>
      </c>
      <c r="J308" t="str">
        <v/>
      </c>
      <c r="K308" t="str">
        <v/>
      </c>
    </row>
    <row r="309">
      <c r="A309" t="str">
        <v>GP2026-06</v>
      </c>
      <c r="B309" t="str">
        <v>General Project</v>
      </c>
      <c r="C309" t="str">
        <v>Review and Methodological Study of Climate Change Impact Assessment</v>
      </c>
      <c r="D309" t="str">
        <v>Lee, Sangbum</v>
      </c>
      <c r="E309" t="str">
        <v>Environmental Assessment</v>
      </c>
      <c r="F309" t="str">
        <v>Climate Adaptation</v>
      </c>
      <c r="G309" s="1" t="d">
        <v>2025-12-31T23:59:08.000Z</v>
      </c>
      <c r="H309" s="1" t="d">
        <v>2026-12-30T23:59:08.000Z</v>
      </c>
      <c r="I309" t="str">
        <v/>
      </c>
      <c r="J309" t="str">
        <v/>
      </c>
      <c r="K309" t="str">
        <v/>
      </c>
    </row>
    <row r="310">
      <c r="A310" t="str">
        <v>GP2026-07</v>
      </c>
      <c r="B310" t="str">
        <v>General Project</v>
      </c>
      <c r="C310" t="str">
        <v>Water Policy Outlook Based on Integrated Analysis of Water, Environment, and Economy</v>
      </c>
      <c r="D310" t="str">
        <v>Ryu, Jaena</v>
      </c>
      <c r="E310" t="str">
        <v>Water Management</v>
      </c>
      <c r="F310" t="str">
        <v>Environmental Economics</v>
      </c>
      <c r="G310" s="1" t="d">
        <v>2025-12-31T23:59:08.000Z</v>
      </c>
      <c r="H310" s="1" t="d">
        <v>2026-12-30T23:59:08.000Z</v>
      </c>
      <c r="I310" t="str">
        <v/>
      </c>
      <c r="J310" t="str">
        <v/>
      </c>
      <c r="K310" t="str">
        <v/>
      </c>
    </row>
    <row r="311">
      <c r="A311" t="str">
        <v>GP2026-08</v>
      </c>
      <c r="B311" t="str">
        <v>General Project</v>
      </c>
      <c r="C311" t="str">
        <v>Research on the Circularity and Lifecycle Environmental Impacts of Plastics in Response to Global Environmental Regulations</v>
      </c>
      <c r="D311" t="str">
        <v xml:space="preserve">Yi, Sora </v>
      </c>
      <c r="E311" t="str">
        <v>Circular Economy</v>
      </c>
      <c r="F311" t="str">
        <v/>
      </c>
      <c r="G311" s="1" t="d">
        <v>2025-12-31T23:59:08.000Z</v>
      </c>
      <c r="H311" s="1" t="d">
        <v>2026-12-30T23:59:08.000Z</v>
      </c>
      <c r="I311" t="str">
        <v/>
      </c>
      <c r="J311" t="str">
        <v/>
      </c>
      <c r="K311" t="str">
        <v/>
      </c>
    </row>
    <row r="312">
      <c r="A312" t="str">
        <v>GP2026-09</v>
      </c>
      <c r="B312" t="str">
        <v>General Project</v>
      </c>
      <c r="C312" t="str">
        <v>Development of Ecosystem Accounting and Biodiversity Mainstreaming Policies</v>
      </c>
      <c r="D312" t="str">
        <v>Lee, Who-Seung</v>
      </c>
      <c r="E312" t="str">
        <v>Ecology</v>
      </c>
      <c r="F312" t="str">
        <v>Sustainable Development</v>
      </c>
      <c r="G312" s="1" t="d">
        <v>2025-12-31T23:59:08.000Z</v>
      </c>
      <c r="H312" s="1" t="d">
        <v>2026-12-30T23:59:08.000Z</v>
      </c>
      <c r="I312" t="str">
        <v/>
      </c>
      <c r="J312" t="str">
        <v/>
      </c>
      <c r="K312" t="str">
        <v/>
      </c>
    </row>
    <row r="313">
      <c r="A313" t="str">
        <v>GP2026-10</v>
      </c>
      <c r="B313" t="str">
        <v>General Project</v>
      </c>
      <c r="C313" t="str">
        <v>Development of an Integrated Diagnostic System for Enhancing the Effectiveness of Environmental Assessment</v>
      </c>
      <c r="D313" t="str">
        <v>Park, Taeho</v>
      </c>
      <c r="E313" t="str">
        <v>Environmental Assessment</v>
      </c>
      <c r="F313" t="str">
        <v>AI and Environmental Informatics</v>
      </c>
      <c r="G313" s="1" t="d">
        <v>2025-12-31T23:59:08.000Z</v>
      </c>
      <c r="H313" s="1" t="d">
        <v>2026-12-30T23:59:08.000Z</v>
      </c>
      <c r="I313" t="str">
        <v/>
      </c>
      <c r="J313" t="str">
        <v/>
      </c>
      <c r="K313" t="str">
        <v/>
      </c>
    </row>
    <row r="314">
      <c r="A314" t="str">
        <v>GP2026-11</v>
      </c>
      <c r="B314" t="str">
        <v>General Project</v>
      </c>
      <c r="C314" t="str">
        <v>Strategies for Coping with High Ozone Concentrations in the Post-PM2.5 and Climate Crisis Era</v>
      </c>
      <c r="D314" t="str">
        <v>Lee, Seungmin</v>
      </c>
      <c r="E314" t="str">
        <v>Atmospheric Environment</v>
      </c>
      <c r="F314" t="str">
        <v>Environmental Health</v>
      </c>
      <c r="G314" s="1" t="d">
        <v>2025-12-31T23:59:08.000Z</v>
      </c>
      <c r="H314" s="1" t="d">
        <v>2026-12-30T23:59:08.000Z</v>
      </c>
      <c r="I314" t="str">
        <v/>
      </c>
      <c r="J314" t="str">
        <v/>
      </c>
      <c r="K314" t="str">
        <v/>
      </c>
    </row>
    <row r="315">
      <c r="A315" t="str">
        <v>GP2026-12</v>
      </c>
      <c r="B315" t="str">
        <v>General Project</v>
      </c>
      <c r="C315" t="str">
        <v>A Study on Sustainable Environmental Assessment Measures Following the Exemption of Environmental Impact Assessment for Offshore Wind Projects</v>
      </c>
      <c r="D315" t="str">
        <v>Kim, Taeyun</v>
      </c>
      <c r="E315" t="str">
        <v>Environmental Assessment</v>
      </c>
      <c r="F315" t="str">
        <v>Carbon Neutrality and Energy</v>
      </c>
      <c r="G315" s="1" t="d">
        <v>2025-12-31T23:59:08.000Z</v>
      </c>
      <c r="H315" s="1" t="d">
        <v>2026-12-30T23:59:08.000Z</v>
      </c>
      <c r="I315" t="str">
        <v/>
      </c>
      <c r="J315" t="str">
        <v/>
      </c>
      <c r="K315" t="str">
        <v/>
      </c>
    </row>
    <row r="316">
      <c r="A316" t="str">
        <v>GP2026-13</v>
      </c>
      <c r="B316" t="str">
        <v>General Project</v>
      </c>
      <c r="C316" t="str">
        <v>Collaborative Research on the Green Economy</v>
      </c>
      <c r="D316" t="str">
        <v>Suh, Yang-won</v>
      </c>
      <c r="E316" t="str">
        <v>Environmental Economics</v>
      </c>
      <c r="F316" t="str">
        <v>Sustainable Development</v>
      </c>
      <c r="G316" s="1" t="d">
        <v>2025-12-31T23:59:08.000Z</v>
      </c>
      <c r="H316" s="1" t="d">
        <v>2026-12-30T23:59:08.000Z</v>
      </c>
      <c r="I316" t="str">
        <v/>
      </c>
      <c r="J316" t="str">
        <v/>
      </c>
      <c r="K316" t="str">
        <v/>
      </c>
    </row>
    <row r="317">
      <c r="A317" t="str">
        <v>RE2026-01</v>
      </c>
      <c r="B317" t="str">
        <v>Core Research</v>
      </c>
      <c r="C317" t="str">
        <v>Strategies to Improve Growth Management Plans for Enhancing Eco-friendly Management in Non-urban Regions</v>
      </c>
      <c r="D317" t="str">
        <v>Joo, Yong-Joon</v>
      </c>
      <c r="E317" t="str">
        <v>Land and Urban Environment</v>
      </c>
      <c r="F317" t="str">
        <v>Sustainable Development</v>
      </c>
      <c r="G317" s="1" t="d">
        <v>2025-12-31T23:59:08.000Z</v>
      </c>
      <c r="H317" s="1" t="d">
        <v>2026-12-30T23:59:08.000Z</v>
      </c>
      <c r="I317" t="str">
        <v/>
      </c>
      <c r="J317" t="str">
        <v/>
      </c>
      <c r="K317" t="str">
        <v/>
      </c>
    </row>
    <row r="318">
      <c r="A318" t="str">
        <v>RE2026-02</v>
      </c>
      <c r="B318" t="str">
        <v>Core Research</v>
      </c>
      <c r="C318" t="str">
        <v>Establishing a Foundation for Digital Product Passports (DPP) for Plastic Products and Packaging</v>
      </c>
      <c r="D318" t="str">
        <v xml:space="preserve">Yi, Sora </v>
      </c>
      <c r="E318" t="str">
        <v>Circular Economy</v>
      </c>
      <c r="F318" t="str">
        <v>AI and Environmental Informatics</v>
      </c>
      <c r="G318" s="1" t="d">
        <v>2025-12-31T23:59:08.000Z</v>
      </c>
      <c r="H318" s="1" t="d">
        <v>2026-10-30T23:59:08.000Z</v>
      </c>
      <c r="I318" t="str">
        <v/>
      </c>
      <c r="J318" t="str">
        <v/>
      </c>
      <c r="K318" t="str">
        <v/>
      </c>
    </row>
    <row r="319">
      <c r="A319" t="str">
        <v>RE2026-03</v>
      </c>
      <c r="B319" t="str">
        <v>Core Research</v>
      </c>
      <c r="C319" t="str">
        <v>Policy Improvements for Managing Human–Wildlife Conflicts in Daily Life (Phase 2): Development and Application of a Conflict Index</v>
      </c>
      <c r="D319" t="str">
        <v>Hong, Hyunjung</v>
      </c>
      <c r="E319" t="str">
        <v>Ecology</v>
      </c>
      <c r="F319" t="str">
        <v>Socio-Environmental Interface</v>
      </c>
      <c r="G319" s="1" t="d">
        <v>2025-12-31T23:59:08.000Z</v>
      </c>
      <c r="H319" s="1" t="d">
        <v>2026-10-30T23:59:08.000Z</v>
      </c>
      <c r="I319" t="str">
        <v/>
      </c>
      <c r="J319" t="str">
        <v/>
      </c>
      <c r="K319" t="str">
        <v/>
      </c>
    </row>
    <row r="320">
      <c r="A320" t="str">
        <v>RE2026-04</v>
      </c>
      <c r="B320" t="str">
        <v>Core Research</v>
      </c>
      <c r="C320" t="str">
        <v>Laying the Groundwork for Integrating Ecological Perspectives into Receptor-Oriented Environmental Health Policy</v>
      </c>
      <c r="D320" t="str">
        <v xml:space="preserve">Jung, Dawoon </v>
      </c>
      <c r="E320" t="str">
        <v>Environmental Health</v>
      </c>
      <c r="F320" t="str">
        <v>Ecology</v>
      </c>
      <c r="G320" s="1" t="d">
        <v>2025-12-31T23:59:08.000Z</v>
      </c>
      <c r="H320" s="1" t="d">
        <v>2026-10-30T23:59:08.000Z</v>
      </c>
      <c r="I320" t="str">
        <v/>
      </c>
      <c r="J320" t="str">
        <v/>
      </c>
      <c r="K320" t="str">
        <v/>
      </c>
    </row>
    <row r="321">
      <c r="A321" t="str">
        <v>RE2026-05</v>
      </c>
      <c r="B321" t="str">
        <v>Core Research</v>
      </c>
      <c r="C321" t="str">
        <v>Enhancing the Efficiency of Dam Water Use in Response to Climate Change and New Water Demands</v>
      </c>
      <c r="D321" t="str">
        <v>Kang, Hyeongsik</v>
      </c>
      <c r="E321" t="str">
        <v>Water Management</v>
      </c>
      <c r="F321" t="str">
        <v>Climate Adaptation</v>
      </c>
      <c r="G321" s="1" t="d">
        <v>2025-12-31T23:59:08.000Z</v>
      </c>
      <c r="H321" s="1" t="d">
        <v>2026-12-30T23:59:08.000Z</v>
      </c>
      <c r="I321" t="str">
        <v/>
      </c>
      <c r="J321" t="str">
        <v/>
      </c>
      <c r="K321" t="str">
        <v/>
      </c>
    </row>
    <row r="322">
      <c r="A322" t="str">
        <v>RE2026-06</v>
      </c>
      <c r="B322" t="str">
        <v>Core Research</v>
      </c>
      <c r="C322" t="str">
        <v>Developing Measures to Rationalize Noise Assessment Standards for Improved Environmental Assessment Performance</v>
      </c>
      <c r="D322" t="str">
        <v>Sun, Hyosung</v>
      </c>
      <c r="E322" t="str">
        <v>Environmental Assessment</v>
      </c>
      <c r="F322" t="str">
        <v>Socio-Environmental Interface</v>
      </c>
      <c r="G322" s="1" t="d">
        <v>2025-12-31T23:59:08.000Z</v>
      </c>
      <c r="H322" s="1" t="d">
        <v>2026-10-30T23:59:08.000Z</v>
      </c>
      <c r="I322" t="str">
        <v/>
      </c>
      <c r="J322" t="str">
        <v/>
      </c>
      <c r="K322" t="str">
        <v/>
      </c>
    </row>
    <row r="323">
      <c r="A323" t="str">
        <v>RE2026-07</v>
      </c>
      <c r="B323" t="str">
        <v>Core Research</v>
      </c>
      <c r="C323" t="str">
        <v>Operational Strategies for the Emissions Trading Scheme (ETS) Based on Supply and Demand Outlook of Emission Allowances</v>
      </c>
      <c r="D323" t="str">
        <v>Choi, Hyungsik</v>
      </c>
      <c r="E323" t="str">
        <v>Carbon Neutrality and Energy</v>
      </c>
      <c r="F323" t="str">
        <v>Environmental Economics</v>
      </c>
      <c r="G323" s="1" t="d">
        <v>2025-12-31T23:59:08.000Z</v>
      </c>
      <c r="H323" s="1" t="d">
        <v>2026-10-30T23:59:08.000Z</v>
      </c>
      <c r="I323" t="str">
        <v/>
      </c>
      <c r="J323" t="str">
        <v/>
      </c>
      <c r="K323" t="str">
        <v/>
      </c>
    </row>
    <row r="324">
      <c r="A324" t="str">
        <v>RE2026-08</v>
      </c>
      <c r="B324" t="str">
        <v>Core Research</v>
      </c>
      <c r="C324" t="str">
        <v>Digital Circular Economy Strategies to Strengthen the Global Competitiveness of the Automotive Industry</v>
      </c>
      <c r="D324" t="str">
        <v>Jo, Ji Hye</v>
      </c>
      <c r="E324" t="str">
        <v>Circular Economy</v>
      </c>
      <c r="F324" t="str">
        <v/>
      </c>
      <c r="G324" s="1" t="d">
        <v>2025-12-31T23:59:08.000Z</v>
      </c>
      <c r="H324" s="1" t="d">
        <v>2026-10-30T23:59:08.000Z</v>
      </c>
      <c r="I324" t="str">
        <v/>
      </c>
      <c r="J324" t="str">
        <v/>
      </c>
      <c r="K324" t="str">
        <v/>
      </c>
    </row>
    <row r="325">
      <c r="A325" t="str">
        <v>RE2026-09</v>
      </c>
      <c r="B325" t="str">
        <v>Core Research</v>
      </c>
      <c r="C325" t="str">
        <v>Developing Indicators for Tracking Progress in National Climate Change Adaptation</v>
      </c>
      <c r="D325" t="str">
        <v>Shin, Jiyoung</v>
      </c>
      <c r="E325" t="str">
        <v>Climate Adaptation</v>
      </c>
      <c r="F325" t="str">
        <v/>
      </c>
      <c r="G325" s="1" t="d">
        <v>2025-12-31T23:59:08.000Z</v>
      </c>
      <c r="H325" s="1" t="d">
        <v>2026-10-30T23:59:08.000Z</v>
      </c>
      <c r="I325" t="str">
        <v/>
      </c>
      <c r="J325" t="str">
        <v/>
      </c>
      <c r="K325" t="str">
        <v/>
      </c>
    </row>
    <row r="326">
      <c r="A326" t="str">
        <v>RE2026-10</v>
      </c>
      <c r="B326" t="str">
        <v>Core Research</v>
      </c>
      <c r="C326" t="str">
        <v>Strategies for Implementing an "Advanced-EPR" System to Enhance the Circular Economy</v>
      </c>
      <c r="D326" t="str">
        <v>Park, Jihwan</v>
      </c>
      <c r="E326" t="str">
        <v>Circular Economy</v>
      </c>
      <c r="F326" t="str">
        <v>Environmental Economics</v>
      </c>
      <c r="G326" s="1" t="d">
        <v>2025-12-31T23:59:08.000Z</v>
      </c>
      <c r="H326" s="1" t="d">
        <v>2026-10-30T23:59:08.000Z</v>
      </c>
      <c r="I326" t="str">
        <v/>
      </c>
      <c r="J326" t="str">
        <v/>
      </c>
      <c r="K326" t="str">
        <v/>
      </c>
    </row>
    <row r="327">
      <c r="A327" t="str">
        <v>RE2026-11</v>
      </c>
      <c r="B327" t="str">
        <v>Core Research</v>
      </c>
      <c r="C327" t="str">
        <v>Strategies for a Just Transition Toward Carbon Neutrality in the Transportation Sector</v>
      </c>
      <c r="D327" t="str">
        <v>Kim, Sungjin</v>
      </c>
      <c r="E327" t="str">
        <v>Carbon Neutrality and Energy</v>
      </c>
      <c r="F327" t="str">
        <v>Socio-Environmental Interface</v>
      </c>
      <c r="G327" s="1" t="d">
        <v>2025-12-31T23:59:08.000Z</v>
      </c>
      <c r="H327" s="1" t="d">
        <v>2026-10-30T23:59:08.000Z</v>
      </c>
      <c r="I327" t="str">
        <v/>
      </c>
      <c r="J327" t="str">
        <v/>
      </c>
      <c r="K327" t="str">
        <v/>
      </c>
    </row>
    <row r="328">
      <c r="A328" t="str">
        <v>RE2026-12</v>
      </c>
      <c r="B328" t="str">
        <v>Core Research</v>
      </c>
      <c r="C328" t="str">
        <v>Estimating the Social Costs of Waste Treatment Facilities Based on Health Risk Assessments</v>
      </c>
      <c r="D328" t="str">
        <v xml:space="preserve">Park, Juyoung </v>
      </c>
      <c r="E328" t="str">
        <v>Environmental Economics</v>
      </c>
      <c r="F328" t="str">
        <v>Environmental Health</v>
      </c>
      <c r="G328" s="1" t="d">
        <v>2025-12-31T23:59:08.000Z</v>
      </c>
      <c r="H328" s="1" t="d">
        <v>2026-10-30T23:59:08.000Z</v>
      </c>
      <c r="I328" t="str">
        <v/>
      </c>
      <c r="J328" t="str">
        <v/>
      </c>
      <c r="K328" t="str">
        <v/>
      </c>
    </row>
    <row r="329">
      <c r="A329" t="str">
        <v>RE2026-13</v>
      </c>
      <c r="B329" t="str">
        <v>Core Research</v>
      </c>
      <c r="C329" t="str">
        <v>Enhancing National Support and Policy Roles for Promoting Wastewater Reclamation and Reuse in Water-scarce Areas</v>
      </c>
      <c r="D329" t="str">
        <v>Lee, Moonhwan</v>
      </c>
      <c r="E329" t="str">
        <v>Water Management</v>
      </c>
      <c r="F329" t="str">
        <v/>
      </c>
      <c r="G329" s="1" t="d">
        <v>2025-12-31T23:59:08.000Z</v>
      </c>
      <c r="H329" s="1" t="d">
        <v>2026-12-30T23:59:08.000Z</v>
      </c>
      <c r="I329" t="str">
        <v/>
      </c>
      <c r="J329" t="str">
        <v/>
      </c>
      <c r="K329" t="str">
        <v/>
      </c>
    </row>
    <row r="330">
      <c r="A330" t="str">
        <v>RE2026-14</v>
      </c>
      <c r="B330" t="str">
        <v>Core Research</v>
      </c>
      <c r="C330" t="str">
        <v>Improving Strategies and Frameworks for Ecological River Restoration Projects to Conserve Aquatic Ecosystems</v>
      </c>
      <c r="D330" t="str">
        <v>Kim, Hyo Gyeom</v>
      </c>
      <c r="E330" t="str">
        <v>Ecology</v>
      </c>
      <c r="F330" t="str">
        <v>Water Management</v>
      </c>
      <c r="G330" s="1" t="d">
        <v>2025-12-31T23:59:08.000Z</v>
      </c>
      <c r="H330" s="1" t="d">
        <v>2026-10-30T23:59:08.000Z</v>
      </c>
      <c r="I330" t="str">
        <v/>
      </c>
      <c r="J330" t="str">
        <v/>
      </c>
      <c r="K330" t="str">
        <v/>
      </c>
    </row>
    <row r="331">
      <c r="A331" t="str">
        <v>RE2026-15</v>
      </c>
      <c r="B331" t="str">
        <v>Core Research</v>
      </c>
      <c r="C331" t="str">
        <v>Biodiversity Assessment and Spatial Conservation Strategies for Islands</v>
      </c>
      <c r="D331" t="str">
        <v xml:space="preserve">Heo, Namjoo </v>
      </c>
      <c r="E331" t="str">
        <v>Ecology</v>
      </c>
      <c r="F331" t="str">
        <v>Land and Urban Environment</v>
      </c>
      <c r="G331" s="1" t="d">
        <v>2025-12-31T23:59:08.000Z</v>
      </c>
      <c r="H331" s="1" t="d">
        <v>2026-10-30T23:59:08.000Z</v>
      </c>
      <c r="I331" t="str">
        <v/>
      </c>
      <c r="J331" t="str">
        <v/>
      </c>
      <c r="K331" t="str">
        <v/>
      </c>
    </row>
    <row r="332">
      <c r="A332" t="str">
        <v>RE2026-16</v>
      </c>
      <c r="B332" t="str">
        <v>Core Research</v>
      </c>
      <c r="C332" t="str">
        <v>Environmental Impact Assessment Review</v>
      </c>
      <c r="D332" t="str">
        <v>Lee, Sangbum</v>
      </c>
      <c r="E332" t="str">
        <v>Environmental Assessment</v>
      </c>
      <c r="F332" t="str">
        <v/>
      </c>
      <c r="G332" s="1" t="d">
        <v>2025-12-31T23:59:08.000Z</v>
      </c>
      <c r="H332" s="1" t="d">
        <v>2026-12-30T23:59:08.000Z</v>
      </c>
      <c r="I332" t="str">
        <v/>
      </c>
      <c r="J332" t="str">
        <v/>
      </c>
      <c r="K332" t="str">
        <v/>
      </c>
    </row>
    <row r="333">
      <c r="A333" t="str">
        <v>RE2026-17</v>
      </c>
      <c r="B333" t="str">
        <v>Core Research</v>
      </c>
      <c r="C333" t="str">
        <v>Strategic Environmental Assessment Review</v>
      </c>
      <c r="D333" t="str">
        <v>Lee, Sangbum</v>
      </c>
      <c r="E333" t="str">
        <v>Environmental Assessment</v>
      </c>
      <c r="F333" t="str">
        <v/>
      </c>
      <c r="G333" s="1" t="d">
        <v>2025-12-31T23:59:08.000Z</v>
      </c>
      <c r="H333" s="1" t="d">
        <v>2026-12-30T23:59:08.000Z</v>
      </c>
      <c r="I333" t="str">
        <v/>
      </c>
      <c r="J333" t="str">
        <v/>
      </c>
      <c r="K333" t="str">
        <v/>
      </c>
    </row>
    <row r="334">
      <c r="A334" t="str">
        <v>RE2026-18</v>
      </c>
      <c r="B334" t="str">
        <v>Core Research</v>
      </c>
      <c r="C334" t="str">
        <v>Development of an Integrated Modeling Framework for Assessing Climate and Air Quality (IV)</v>
      </c>
      <c r="D334" t="str">
        <v>Shim, Changsub</v>
      </c>
      <c r="E334" t="str">
        <v>Atmospheric Environment</v>
      </c>
      <c r="F334" t="str">
        <v>AI and Environmental Informatics</v>
      </c>
      <c r="G334" s="1" t="d">
        <v>2025-12-31T23:59:08.000Z</v>
      </c>
      <c r="H334" s="1" t="d">
        <v>2026-12-30T23:59:08.000Z</v>
      </c>
      <c r="I334" t="str">
        <v/>
      </c>
      <c r="J334" t="str">
        <v/>
      </c>
      <c r="K334" t="str">
        <v/>
      </c>
    </row>
    <row r="335">
      <c r="A335" t="str">
        <v>RR2026-01</v>
      </c>
      <c r="B335" t="str">
        <v>General Project</v>
      </c>
      <c r="C335" t="str">
        <v>A Study on Establishing a Framework for Transition Finance to Facilitate Industrial Decarbonization</v>
      </c>
      <c r="D335" t="str">
        <v>Kim, Hyunno</v>
      </c>
      <c r="E335" t="str">
        <v>Environmental Economics</v>
      </c>
      <c r="F335" t="str">
        <v>Carbon Neutrality and Energy</v>
      </c>
      <c r="G335" s="1" t="d">
        <v>2025-12-31T23:59:08.000Z</v>
      </c>
      <c r="H335" s="1" t="d">
        <v>2026-12-30T23:59:08.000Z</v>
      </c>
      <c r="I335" t="str">
        <v/>
      </c>
      <c r="J335" t="str">
        <v/>
      </c>
      <c r="K335" t="str">
        <v/>
      </c>
    </row>
    <row r="336">
      <c r="A336" t="str">
        <v>RR2026-02</v>
      </c>
      <c r="B336" t="str">
        <v>General Project</v>
      </c>
      <c r="C336" t="str">
        <v>Establishment of a Korean Chemical Life-cycle Management (K-CLM) System to Strengthen Public Safety</v>
      </c>
      <c r="D336" t="str">
        <v xml:space="preserve">Jung, Dawoon </v>
      </c>
      <c r="E336" t="str">
        <v>Environmental Health</v>
      </c>
      <c r="F336" t="str">
        <v/>
      </c>
      <c r="G336" s="1" t="d">
        <v>2025-12-31T23:59:08.000Z</v>
      </c>
      <c r="H336" s="1" t="d">
        <v>2026-12-30T23:59:08.000Z</v>
      </c>
      <c r="I336" t="str">
        <v/>
      </c>
      <c r="J336" t="str">
        <v/>
      </c>
      <c r="K336" t="str">
        <v/>
      </c>
    </row>
    <row r="337">
      <c r="A337" t="str">
        <v>RR2026-03</v>
      </c>
      <c r="B337" t="str">
        <v>General Project</v>
      </c>
      <c r="C337" t="str">
        <v>Developing Strategies for Climate-Resilient Cities by Integrating Carbon Neutrality, Climate Adaptation, and Disaster Risk Reduction</v>
      </c>
      <c r="D337" t="str">
        <v>Choi, Hee-Sun</v>
      </c>
      <c r="E337" t="str">
        <v>Carbon Neutrality and Energy</v>
      </c>
      <c r="F337" t="str">
        <v>Land and Urban Environment</v>
      </c>
      <c r="G337" s="1" t="d">
        <v>2025-12-31T23:59:08.000Z</v>
      </c>
      <c r="H337" s="1" t="d">
        <v>2026-12-30T23:59:08.000Z</v>
      </c>
      <c r="I337" t="str">
        <v/>
      </c>
      <c r="J337" t="str">
        <v/>
      </c>
      <c r="K337" t="str">
        <v/>
      </c>
    </row>
    <row r="338">
      <c r="A338" t="str">
        <v>SP2026-03</v>
      </c>
      <c r="B338" t="str">
        <v>General Project</v>
      </c>
      <c r="C338" t="str">
        <v>Management of the Network of Institutions for Sustainable Development (NISD)</v>
      </c>
      <c r="D338" t="str">
        <v>Park, Jun Hyun</v>
      </c>
      <c r="E338" t="str">
        <v>Sustainable Development</v>
      </c>
      <c r="F338" t="str">
        <v>International Environmental Collaboration</v>
      </c>
      <c r="G338" s="1" t="d">
        <v>2025-12-31T23:59:08.000Z</v>
      </c>
      <c r="H338" s="1" t="d">
        <v>2026-12-30T23:59:08.000Z</v>
      </c>
      <c r="I338" t="str">
        <v/>
      </c>
      <c r="J338" t="str">
        <v/>
      </c>
      <c r="K338" t="str">
        <v/>
      </c>
    </row>
    <row r="339">
      <c r="A339" t="str">
        <v>2026-030</v>
      </c>
      <c r="B339" t="str">
        <v xml:space="preserve">Commissioned Research </v>
      </c>
      <c r="C339" t="str">
        <v>Establishing the First Master Plan for Circular Economy (Phase 2)</v>
      </c>
      <c r="D339" t="str">
        <v>Jo, Ji Hye</v>
      </c>
      <c r="E339" t="str">
        <v>Circular Economy</v>
      </c>
      <c r="F339" t="str">
        <v>Sustainable Development</v>
      </c>
      <c r="G339" s="1" t="d">
        <v>2026-01-13T23:59:08.000Z</v>
      </c>
      <c r="H339" s="1" t="d">
        <v>2026-05-08T23:59:08.000Z</v>
      </c>
      <c r="I339" t="str">
        <v/>
      </c>
      <c r="J339" t="str">
        <v/>
      </c>
      <c r="K339" t="str">
        <v/>
      </c>
    </row>
    <row r="340">
      <c r="A340" t="str">
        <v>2026-035</v>
      </c>
      <c r="B340" t="str">
        <v xml:space="preserve">Commissioned Research </v>
      </c>
      <c r="C340" t="str">
        <v>2025 Implementation Assessment of the 1st National Water Management Plan</v>
      </c>
      <c r="D340" t="str">
        <v>Ryu, Jaena</v>
      </c>
      <c r="E340" t="str">
        <v>Water Management</v>
      </c>
      <c r="F340" t="str">
        <v/>
      </c>
      <c r="G340" s="1" t="d">
        <v>2026-02-11T23:59:08.000Z</v>
      </c>
      <c r="H340" s="1" t="d">
        <v>2026-11-29T23:59:08.000Z</v>
      </c>
      <c r="I340" t="str">
        <v/>
      </c>
      <c r="J340" t="str">
        <v/>
      </c>
      <c r="K340" t="str">
        <v/>
      </c>
    </row>
    <row r="341">
      <c r="A341" t="str">
        <v>2026-036</v>
      </c>
      <c r="B341" t="str">
        <v xml:space="preserve">Commissioned Research </v>
      </c>
      <c r="C341" t="str">
        <v>A Study on Developing Management Measures for Fugitive Methane Emissions at Industrial Sites</v>
      </c>
      <c r="D341" t="str">
        <v>Lee, Seungmin</v>
      </c>
      <c r="E341" t="str">
        <v>Carbon Neutrality and Energy</v>
      </c>
      <c r="F341" t="str">
        <v/>
      </c>
      <c r="G341" s="1" t="d">
        <v>2026-02-11T23:59:08.000Z</v>
      </c>
      <c r="H341" s="1" t="d">
        <v>2026-12-11T23:59:08.000Z</v>
      </c>
      <c r="I341" t="str">
        <v/>
      </c>
      <c r="J341" t="str">
        <v/>
      </c>
      <c r="K341" t="str">
        <v/>
      </c>
    </row>
    <row r="342">
      <c r="A342" t="str">
        <v>2026-037</v>
      </c>
      <c r="B342" t="str">
        <v xml:space="preserve">Commissioned Research </v>
      </c>
      <c r="C342" t="str">
        <v>Management and Operation of the National Research Center for Sustainable Development</v>
      </c>
      <c r="D342" t="str">
        <v>Park, Chang Sug</v>
      </c>
      <c r="E342" t="str">
        <v>Sustainable Development</v>
      </c>
      <c r="F342" t="str">
        <v/>
      </c>
      <c r="G342" s="1" t="d">
        <v>2026-02-18T23:59:08.000Z</v>
      </c>
      <c r="H342" s="1" t="d">
        <v>2026-12-11T23:59:08.000Z</v>
      </c>
      <c r="I342" t="str">
        <v/>
      </c>
      <c r="J342" t="str">
        <v/>
      </c>
      <c r="K342" t="str">
        <v/>
      </c>
    </row>
    <row r="343">
      <c r="A343" t="str">
        <v>2026-039</v>
      </c>
      <c r="B343" t="str">
        <v xml:space="preserve">Commissioned Research </v>
      </c>
      <c r="C343" t="str">
        <v>Environmental Assessment Strategies for Environmentally Sound Renewable Energy Development</v>
      </c>
      <c r="D343" t="str">
        <v xml:space="preserve">Kim, Dohyeong </v>
      </c>
      <c r="E343" t="str">
        <v>Environmental Assessment</v>
      </c>
      <c r="F343" t="str">
        <v>Carbon Neutrality and Energy</v>
      </c>
      <c r="G343" s="1" t="d">
        <v>2026-02-24T23:59:08.000Z</v>
      </c>
      <c r="H343" s="1" t="d">
        <v>2026-12-30T23:59:08.000Z</v>
      </c>
      <c r="I343" t="str">
        <v/>
      </c>
      <c r="J343" t="str">
        <v/>
      </c>
      <c r="K343" t="str">
        <v/>
      </c>
    </row>
    <row r="344">
      <c r="A344" t="str">
        <v>2026-040</v>
      </c>
      <c r="B344" t="str">
        <v xml:space="preserve">Commissioned Research </v>
      </c>
      <c r="C344" t="str">
        <v>Establishing a Performance Evaluation Framework for Fiscal Projects under the Climate Response Fund</v>
      </c>
      <c r="D344" t="str">
        <v xml:space="preserve">Lim, Hyungwoo </v>
      </c>
      <c r="E344" t="str">
        <v>Environmental Economics</v>
      </c>
      <c r="F344" t="str">
        <v>Carbon Neutrality and Energy</v>
      </c>
      <c r="G344" s="1" t="d">
        <v>2026-03-05T23:59:08.000Z</v>
      </c>
      <c r="H344" s="1" t="d">
        <v>2026-10-30T23:59:08.000Z</v>
      </c>
      <c r="I344" t="str">
        <v/>
      </c>
      <c r="J344" t="str">
        <v/>
      </c>
      <c r="K344" t="str">
        <v/>
      </c>
    </row>
    <row r="345">
      <c r="A345" t="str">
        <v>2026-042</v>
      </c>
      <c r="B345" t="str">
        <v xml:space="preserve">Commissioned Research </v>
      </c>
      <c r="C345" t="str">
        <v>Improving Fiscal Efficiency in Support Schemes for the Installation and Operation of Environmental Infrastructure</v>
      </c>
      <c r="D345" t="str">
        <v>Jeon, Dongjin</v>
      </c>
      <c r="E345" t="str">
        <v>Environmental Economics</v>
      </c>
      <c r="F345" t="str">
        <v>Water Management</v>
      </c>
      <c r="G345" s="1" t="d">
        <v>2026-03-15T23:59:08.000Z</v>
      </c>
      <c r="H345" s="1" t="d">
        <v>2026-10-23T23:59:08.000Z</v>
      </c>
      <c r="I345" t="str">
        <v/>
      </c>
      <c r="J345" t="str">
        <v/>
      </c>
      <c r="K345" t="str">
        <v/>
      </c>
    </row>
    <row r="346">
      <c r="A346" t="str">
        <v>WO2026-01</v>
      </c>
      <c r="B346" t="str">
        <v>Policy Study</v>
      </c>
      <c r="C346" t="str">
        <v>Developing a Risk-based Safety Management Framework for Cross-border E-commerce Purchases</v>
      </c>
      <c r="D346" t="str">
        <v xml:space="preserve"> Lim, Miyoung</v>
      </c>
      <c r="E346" t="str">
        <v>Environmental Health</v>
      </c>
      <c r="F346" t="str">
        <v/>
      </c>
      <c r="G346" s="1" t="d">
        <v>2026-03-15T23:59:08.000Z</v>
      </c>
      <c r="H346" s="1" t="d">
        <v>2026-12-19T23:59:08.000Z</v>
      </c>
      <c r="I346" t="str">
        <v/>
      </c>
      <c r="J346" t="str">
        <v/>
      </c>
      <c r="K346" t="str">
        <v/>
      </c>
    </row>
    <row r="347">
      <c r="A347" t="str">
        <v>WO2026-02</v>
      </c>
      <c r="B347" t="str">
        <v>Policy Study</v>
      </c>
      <c r="C347" t="str">
        <v>A Study on Developing Indicators for Assessing Urban Green Network Connectivity and Accessibility</v>
      </c>
      <c r="D347" t="str">
        <v>Lee, Ji-Young</v>
      </c>
      <c r="E347" t="str">
        <v>Land and Urban Environment</v>
      </c>
      <c r="F347" t="str">
        <v>Ecology</v>
      </c>
      <c r="G347" s="1" t="d">
        <v>2026-03-15T23:59:08.000Z</v>
      </c>
      <c r="H347" s="1" t="d">
        <v>2026-09-14T23:59:08.000Z</v>
      </c>
      <c r="I347" t="str">
        <v/>
      </c>
      <c r="J347" t="str">
        <v/>
      </c>
      <c r="K347" t="str">
        <v/>
      </c>
    </row>
    <row r="348">
      <c r="A348" t="str">
        <v>WO2026-03</v>
      </c>
      <c r="B348" t="str">
        <v>Policy Study</v>
      </c>
      <c r="C348" t="str">
        <v>Assessing the Potential and Synergies of Biodiversity Policies for Addressing Climate Risks and Developing Scaling-up Strategies</v>
      </c>
      <c r="D348" t="str">
        <v>Kim, Yoonjung</v>
      </c>
      <c r="E348" t="str">
        <v>Ecology</v>
      </c>
      <c r="F348" t="str">
        <v>Climate Adaptation</v>
      </c>
      <c r="G348" s="1" t="d">
        <v>2026-03-15T23:59:08.000Z</v>
      </c>
      <c r="H348" s="1" t="d">
        <v>2026-09-14T23:59:08.000Z</v>
      </c>
      <c r="I348" t="str">
        <v/>
      </c>
      <c r="J348" t="str">
        <v/>
      </c>
      <c r="K348" t="str">
        <v/>
      </c>
    </row>
    <row r="349">
      <c r="A349" t="str">
        <v>2025-122</v>
      </c>
      <c r="B349" t="str">
        <v xml:space="preserve">Commissioned Research </v>
      </c>
      <c r="C349" t="str">
        <v>Enhancing Climate Resilience in Vietnam through Local Adaptation Planning and Capacity Building</v>
      </c>
      <c r="D349" t="str">
        <v>Cho, Hanna</v>
      </c>
      <c r="E349" t="str">
        <v>Climate Adaptation</v>
      </c>
      <c r="F349" t="str">
        <v>International Environmental Collaboration</v>
      </c>
      <c r="G349" s="1" t="d">
        <v>2025-12-14T23:59:08.000Z</v>
      </c>
      <c r="H349" s="1" t="d">
        <v>2029-12-13T23:59:08.000Z</v>
      </c>
      <c r="I349" t="str">
        <v/>
      </c>
      <c r="J349" t="str">
        <v/>
      </c>
      <c r="K349" t="str">
        <v/>
      </c>
    </row>
    <row r="350">
      <c r="A350" t="str">
        <v>2026-034(R)</v>
      </c>
      <c r="B350" t="str">
        <v xml:space="preserve">Commissioned Research </v>
      </c>
      <c r="C350" t="str">
        <v>Development of Korea-Specific Prediction Technology for Coastal Disaster Drivers (Phase 1)</v>
      </c>
      <c r="D350" t="str">
        <v>Kim, Choong-ki</v>
      </c>
      <c r="E350" t="str">
        <v>Climate Adaptation</v>
      </c>
      <c r="F350" t="str">
        <v>Marine Environment</v>
      </c>
      <c r="G350" s="1" t="d">
        <v>2025-12-31T23:59:08.000Z</v>
      </c>
      <c r="H350" s="1" t="d">
        <v>2029-12-30T23:59:08.000Z</v>
      </c>
      <c r="I350" t="str">
        <v/>
      </c>
      <c r="J350" t="str">
        <v/>
      </c>
      <c r="K350" t="str">
        <v/>
      </c>
    </row>
    <row r="351">
      <c r="A351" t="str">
        <v>2026-038(R)</v>
      </c>
      <c r="B351" t="str">
        <v xml:space="preserve">Commissioned Research </v>
      </c>
      <c r="C351" t="str">
        <v>Study on Developing a System for Flood Risk Evaluation and Expected Annual Damage based on Flood Damage Types (Year 4)</v>
      </c>
      <c r="D351" t="str">
        <v xml:space="preserve">Jung, Kichul </v>
      </c>
      <c r="E351" t="str">
        <v>Water Management</v>
      </c>
      <c r="F351" t="str">
        <v>Environmental Economics</v>
      </c>
      <c r="G351" s="1" t="d">
        <v>2026-02-28T23:59:08.000Z</v>
      </c>
      <c r="H351" s="1" t="d">
        <v>2027-02-27T23:59:08.000Z</v>
      </c>
      <c r="I351" t="str">
        <v/>
      </c>
      <c r="J351" t="str">
        <v/>
      </c>
      <c r="K351" t="str">
        <v/>
      </c>
    </row>
    <row r="352">
      <c r="A352" t="str">
        <v>2026-041</v>
      </c>
      <c r="B352" t="str">
        <v xml:space="preserve">Commissioned Research </v>
      </c>
      <c r="C352" t="str">
        <v>A Study on Improving the Small-Scale Environmental Impact Assessment System</v>
      </c>
      <c r="D352" t="str">
        <v xml:space="preserve">Choi, Hyun-Jin </v>
      </c>
      <c r="E352" t="str">
        <v>Environmental Assessment</v>
      </c>
      <c r="F352" t="str">
        <v>Environmental Economics</v>
      </c>
      <c r="G352" s="1" t="d">
        <v>2026-03-15T23:59:08.000Z</v>
      </c>
      <c r="H352" s="1" t="d">
        <v>2027-01-10T23:59:08.000Z</v>
      </c>
      <c r="I352" t="str">
        <v/>
      </c>
      <c r="J352" t="str">
        <v/>
      </c>
      <c r="K352" t="str">
        <v/>
      </c>
    </row>
    <row r="353">
      <c r="A353" t="str">
        <v>2026-043</v>
      </c>
      <c r="B353" t="str">
        <v xml:space="preserve">Commissioned Research </v>
      </c>
      <c r="C353" t="str">
        <v>Revision of the Guidelines for Permitting Wastewater Discharge Facilities</v>
      </c>
      <c r="D353" t="str">
        <v>Ahn, Jongho</v>
      </c>
      <c r="E353" t="str">
        <v>Water Management</v>
      </c>
      <c r="F353" t="str">
        <v/>
      </c>
      <c r="G353" s="1" t="d">
        <v>2026-03-29T23:59:08.000Z</v>
      </c>
      <c r="H353" s="1" t="d">
        <v>2026-11-29T23:59:08.000Z</v>
      </c>
      <c r="I353" t="str">
        <v/>
      </c>
      <c r="J353" t="str">
        <v/>
      </c>
      <c r="K353" t="str">
        <v/>
      </c>
    </row>
    <row r="354">
      <c r="A354" t="str">
        <v>2026-044</v>
      </c>
      <c r="B354" t="str">
        <v xml:space="preserve">Commissioned Research </v>
      </c>
      <c r="C354" t="str">
        <v>Evaluation of the National Framework Plan for Carbon Neutrality and Green Growth and Greenhouse Gas Reduction in 2025</v>
      </c>
      <c r="D354" t="str">
        <v>Shin, Dong Won</v>
      </c>
      <c r="E354" t="str">
        <v>Carbon Neutrality and Energy</v>
      </c>
      <c r="F354" t="str">
        <v>Sustainable Development</v>
      </c>
      <c r="G354" s="1" t="d">
        <v>2026-03-29T23:59:08.000Z</v>
      </c>
      <c r="H354" s="1" t="d">
        <v>2026-11-23T23:59:08.000Z</v>
      </c>
      <c r="I354" t="str">
        <v/>
      </c>
      <c r="J354" t="str">
        <v/>
      </c>
      <c r="K354" t="str">
        <v/>
      </c>
    </row>
    <row r="355">
      <c r="A355" t="str">
        <v>2026-047</v>
      </c>
      <c r="B355" t="str">
        <v xml:space="preserve">Commissioned Research </v>
      </c>
      <c r="C355" t="str">
        <v>Developing Technologies for Satellite-based Water Resource Management (II) (Phase 3)</v>
      </c>
      <c r="D355" t="str">
        <v>Lee, Sunmin</v>
      </c>
      <c r="E355" t="str">
        <v>Water Management</v>
      </c>
      <c r="F355" t="str">
        <v>AI and Environmental Informatics</v>
      </c>
      <c r="G355" s="1" t="d">
        <v>2026-03-30T23:59:08.000Z</v>
      </c>
      <c r="H355" s="1" t="d">
        <v>2027-06-07T23:59:08.000Z</v>
      </c>
      <c r="I355" t="str">
        <v/>
      </c>
      <c r="J355" t="str">
        <v/>
      </c>
      <c r="K355" t="str">
        <v/>
      </c>
    </row>
    <row r="356">
      <c r="A356" t="str">
        <v>GS2026-01</v>
      </c>
      <c r="B356" t="str">
        <v>Government Support Project</v>
      </c>
      <c r="C356" t="str">
        <v>Developing Practical Cooperation Measures on Climate Change for ASEAN+3</v>
      </c>
      <c r="D356" t="str">
        <v xml:space="preserve">Moon, Jongwoo </v>
      </c>
      <c r="E356" t="str">
        <v>Climate Adaptation</v>
      </c>
      <c r="F356" t="str">
        <v>International Environmental Collaboration</v>
      </c>
      <c r="G356" s="1" t="d">
        <v>2026-03-31T23:59:08.000Z</v>
      </c>
      <c r="H356" s="1" t="d">
        <v>2026-12-30T23:59:08.000Z</v>
      </c>
      <c r="I356" t="str">
        <v/>
      </c>
      <c r="J356" t="str">
        <v/>
      </c>
      <c r="K356" t="str">
        <v/>
      </c>
    </row>
    <row r="357">
      <c r="A357" t="str">
        <v>GS2026-02</v>
      </c>
      <c r="B357" t="str">
        <v>Government Support Project</v>
      </c>
      <c r="C357" t="str">
        <v>2026 Cost-Benefit Analysis of Environmental Regulations</v>
      </c>
      <c r="D357" t="str">
        <v>Lim, Hyesook</v>
      </c>
      <c r="E357" t="str">
        <v>Environmental Economics</v>
      </c>
      <c r="F357" t="str">
        <v>Circular Economy</v>
      </c>
      <c r="G357" s="1" t="d">
        <v>2026-03-31T23:59:08.000Z</v>
      </c>
      <c r="H357" s="1" t="d">
        <v>2026-12-30T23:59:08.000Z</v>
      </c>
      <c r="I357" t="str">
        <v/>
      </c>
      <c r="J357" t="str">
        <v/>
      </c>
      <c r="K357" t="str">
        <v/>
      </c>
    </row>
    <row r="358">
      <c r="A358" t="str">
        <v>GS2026-03</v>
      </c>
      <c r="B358" t="str">
        <v>Government Support Project</v>
      </c>
      <c r="C358" t="str">
        <v>Development of Improvement Measures for the Korean National Environmental Health Survey System</v>
      </c>
      <c r="D358" t="str">
        <v>Jeong, Yunsun</v>
      </c>
      <c r="E358" t="str">
        <v>Environmental Health</v>
      </c>
      <c r="F358" t="str">
        <v/>
      </c>
      <c r="G358" s="1" t="d">
        <v>2026-03-31T23:59:08.000Z</v>
      </c>
      <c r="H358" s="1" t="d">
        <v>2026-12-30T23:59:08.000Z</v>
      </c>
      <c r="I358" t="str">
        <v/>
      </c>
      <c r="J358" t="str">
        <v/>
      </c>
      <c r="K358" t="str">
        <v/>
      </c>
    </row>
    <row r="359">
      <c r="A359" t="str">
        <v>GS2026-04</v>
      </c>
      <c r="B359" t="str">
        <v>Government Support Project</v>
      </c>
      <c r="C359" t="str">
        <v>Analysis of Implementation Trends and Development of Policy Responses to the CBD Kunming-Montreal Global Biodiversity Framework</v>
      </c>
      <c r="D359" t="str">
        <v>Lee, Who-Seung</v>
      </c>
      <c r="E359" t="str">
        <v>Ecology</v>
      </c>
      <c r="F359" t="str">
        <v>International Environmental Collaboration</v>
      </c>
      <c r="G359" s="1" t="d">
        <v>2026-03-31T23:59:08.000Z</v>
      </c>
      <c r="H359" s="1" t="d">
        <v>2026-12-30T23:59:08.000Z</v>
      </c>
      <c r="I359" t="str">
        <v/>
      </c>
      <c r="J359" t="str">
        <v/>
      </c>
      <c r="K359" t="str">
        <v/>
      </c>
    </row>
    <row r="360">
      <c r="A360" t="str">
        <v>GS2026-05</v>
      </c>
      <c r="B360" t="str">
        <v>Government Support Project</v>
      </c>
      <c r="C360" t="str">
        <v>Implementation Strategies and Future Directions for Improving Statutory Water Plans</v>
      </c>
      <c r="D360" t="str">
        <v>Kim, Ikjae</v>
      </c>
      <c r="E360" t="str">
        <v>Water Management</v>
      </c>
      <c r="F360" t="str">
        <v>Sustainable Development</v>
      </c>
      <c r="G360" s="1" t="d">
        <v>2026-03-31T23:59:08.000Z</v>
      </c>
      <c r="H360" s="1" t="d">
        <v>2026-12-30T23:59:08.000Z</v>
      </c>
      <c r="I360" t="str">
        <v/>
      </c>
      <c r="J360" t="str">
        <v/>
      </c>
      <c r="K360" t="str">
        <v/>
      </c>
    </row>
    <row r="361">
      <c r="A361" t="str">
        <v>GS2026-06</v>
      </c>
      <c r="B361" t="str">
        <v>Government Support Project</v>
      </c>
      <c r="C361" t="str">
        <v>Expanding Low Impact Development (LID) for Managing Urban Nonpoint Source Pollution and Water Cycle Restoration: Focusing on Landscape and Building Regulations</v>
      </c>
      <c r="D361" t="str">
        <v>Kim, Hojeong</v>
      </c>
      <c r="E361" t="str">
        <v>Water Management</v>
      </c>
      <c r="F361" t="str">
        <v>Land and Urban Environment</v>
      </c>
      <c r="G361" s="1" t="d">
        <v>2026-03-31T23:59:08.000Z</v>
      </c>
      <c r="H361" s="1" t="d">
        <v>2026-11-29T23:59:08.000Z</v>
      </c>
      <c r="I361" t="str">
        <v/>
      </c>
      <c r="J361" t="str">
        <v/>
      </c>
      <c r="K361" t="str">
        <v/>
      </c>
    </row>
    <row r="362">
      <c r="A362" t="str">
        <v>GS2026-07</v>
      </c>
      <c r="B362" t="str">
        <v>Government Support Project</v>
      </c>
      <c r="C362" t="str">
        <v>Development of Effective Program Models for Scaling Up Agricultural Best Management Practices (BMPs)</v>
      </c>
      <c r="D362" t="str">
        <v>Jeon, Dongjin</v>
      </c>
      <c r="E362" t="str">
        <v>Water Management</v>
      </c>
      <c r="F362" t="str">
        <v>Environmental Economics</v>
      </c>
      <c r="G362" s="1" t="d">
        <v>2026-03-31T23:59:08.000Z</v>
      </c>
      <c r="H362" s="1" t="d">
        <v>2026-12-30T23:59:08.000Z</v>
      </c>
      <c r="I362" t="str">
        <v/>
      </c>
      <c r="J362" t="str">
        <v/>
      </c>
      <c r="K362" t="str">
        <v/>
      </c>
    </row>
    <row r="363">
      <c r="A363" t="str">
        <v>GS2026-08</v>
      </c>
      <c r="B363" t="str">
        <v>Government Support Project</v>
      </c>
      <c r="C363" t="str">
        <v>A Study on Strategies for Restoring Aquatic Ecological Connectivity in Small and Medium-Sized Streams Linked to Estuaries</v>
      </c>
      <c r="D363" t="str">
        <v>Choi, Mikyoung</v>
      </c>
      <c r="E363" t="str">
        <v>Ecology</v>
      </c>
      <c r="F363" t="str">
        <v>Water Management</v>
      </c>
      <c r="G363" s="1" t="d">
        <v>2026-03-31T23:59:08.000Z</v>
      </c>
      <c r="H363" s="1" t="d">
        <v>2026-12-30T23:59:08.000Z</v>
      </c>
      <c r="I363" t="str">
        <v/>
      </c>
      <c r="J363" t="str">
        <v/>
      </c>
      <c r="K363" t="str">
        <v/>
      </c>
    </row>
    <row r="364">
      <c r="A364" t="str">
        <v>GS2026-09</v>
      </c>
      <c r="B364" t="str">
        <v>Government Support Project</v>
      </c>
      <c r="C364" t="str">
        <v>Advancing Industrial Wastewater Management and Water Quality Surveillance Systems</v>
      </c>
      <c r="D364" t="str">
        <v>Han, Daeho</v>
      </c>
      <c r="E364" t="str">
        <v>Water Management</v>
      </c>
      <c r="F364" t="str">
        <v/>
      </c>
      <c r="G364" s="1" t="d">
        <v>2026-03-31T23:59:08.000Z</v>
      </c>
      <c r="H364" s="1" t="d">
        <v>2026-12-30T23:59:08.000Z</v>
      </c>
      <c r="I364" t="str">
        <v/>
      </c>
      <c r="J364" t="str">
        <v/>
      </c>
      <c r="K364" t="str">
        <v/>
      </c>
    </row>
    <row r="365">
      <c r="A365" t="str">
        <v>GS2026-10</v>
      </c>
      <c r="B365" t="str">
        <v>Government Support Project</v>
      </c>
      <c r="C365" t="str">
        <v>Advancing Integrated Management of Land and Environmental Planning at the Local Government Level</v>
      </c>
      <c r="D365" t="str">
        <v xml:space="preserve">Kim, Taehyun </v>
      </c>
      <c r="E365" t="str">
        <v>Land and Urban Environment</v>
      </c>
      <c r="F365" t="str">
        <v/>
      </c>
      <c r="G365" s="1" t="d">
        <v>2026-03-31T23:59:08.000Z</v>
      </c>
      <c r="H365" s="1" t="d">
        <v>2026-12-30T23:59:08.000Z</v>
      </c>
      <c r="I365" t="str">
        <v/>
      </c>
      <c r="J365" t="str">
        <v/>
      </c>
      <c r="K365" t="str">
        <v/>
      </c>
    </row>
    <row r="366">
      <c r="A366" t="str">
        <v>GS2026-11</v>
      </c>
      <c r="B366" t="str">
        <v>Government Support Project</v>
      </c>
      <c r="C366" t="str">
        <v>Improving the Practicality of Preparation Guidelines for Strategic Environmental Impact Assessment Reports (Policy Plans)</v>
      </c>
      <c r="D366" t="str">
        <v>Lee, Sangyun</v>
      </c>
      <c r="E366" t="str">
        <v>Environmental Assessment</v>
      </c>
      <c r="F366" t="str">
        <v>Sustainable Development</v>
      </c>
      <c r="G366" s="1" t="d">
        <v>2026-03-31T23:59:08.000Z</v>
      </c>
      <c r="H366" s="1" t="d">
        <v>2026-12-30T23:59:08.000Z</v>
      </c>
      <c r="I366" t="str">
        <v/>
      </c>
      <c r="J366" t="str">
        <v/>
      </c>
      <c r="K366" t="str">
        <v/>
      </c>
    </row>
    <row r="367">
      <c r="A367" t="str">
        <v>GS2026-12</v>
      </c>
      <c r="B367" t="str">
        <v>Government Support Project</v>
      </c>
      <c r="C367" t="str">
        <v>A Study on Improving the Natural Environment Survey System for Environmental Impact Assessment</v>
      </c>
      <c r="D367" t="str">
        <v xml:space="preserve">Heo, Namjoo </v>
      </c>
      <c r="E367" t="str">
        <v>Environmental Assessment</v>
      </c>
      <c r="F367" t="str">
        <v>ecology</v>
      </c>
      <c r="G367" s="1" t="d">
        <v>2026-03-31T23:59:08.000Z</v>
      </c>
      <c r="H367" s="1" t="d">
        <v>2026-12-30T23:59:08.000Z</v>
      </c>
      <c r="I367" t="str">
        <v/>
      </c>
      <c r="J367" t="str">
        <v/>
      </c>
      <c r="K367" t="str">
        <v/>
      </c>
    </row>
    <row r="368">
      <c r="A368" t="str">
        <v>GS2026-13</v>
      </c>
      <c r="B368" t="str">
        <v>Government Support Project</v>
      </c>
      <c r="C368" t="str">
        <v>Development of a Cumulative Impact Assessment Framework for Onshore Wind Power</v>
      </c>
      <c r="D368" t="str">
        <v>Kwon, Sunyong</v>
      </c>
      <c r="E368" t="str">
        <v>Carbon Neutrality and Energy</v>
      </c>
      <c r="F368" t="str">
        <v>Environmental Assessment</v>
      </c>
      <c r="G368" s="1" t="d">
        <v>2026-03-31T23:59:08.000Z</v>
      </c>
      <c r="H368" s="1" t="d">
        <v>2026-12-30T23:59:08.000Z</v>
      </c>
      <c r="I368" t="str">
        <v/>
      </c>
      <c r="J368" t="str">
        <v/>
      </c>
      <c r="K368" t="str">
        <v/>
      </c>
    </row>
  </sheetData>
  <mergeCells count="1">
    <mergeCell ref="B2:H2"/>
  </mergeCells>
  <ignoredErrors>
    <ignoredError numberStoredAsText="1" sqref="A1:K3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65"/>
  <sheetViews>
    <sheetView workbookViewId="0" rightToLeft="0"/>
  </sheetViews>
  <sheetData>
    <row r="1">
      <c r="A1" t="str">
        <v>No</v>
      </c>
      <c r="B1" t="str">
        <v>과제구분</v>
      </c>
      <c r="C1" t="str">
        <v>과제번호▲</v>
      </c>
      <c r="D1" t="str">
        <v>과제명</v>
      </c>
      <c r="E1" t="str">
        <v>주제어</v>
      </c>
      <c r="F1" t="str">
        <v>책임자사번코드</v>
      </c>
      <c r="G1" t="str">
        <v>책임자</v>
      </c>
      <c r="H1" t="str">
        <v>부서코드</v>
      </c>
      <c r="I1" t="str">
        <v>연구부서</v>
      </c>
      <c r="J1" t="str">
        <v>연구원 예산</v>
      </c>
      <c r="K1" t="str">
        <v>연구시작일</v>
      </c>
      <c r="L1" t="str">
        <v>연구종료일</v>
      </c>
      <c r="M1" t="str">
        <v>발주처</v>
      </c>
      <c r="N1" t="str">
        <v>과제명(영문)</v>
      </c>
      <c r="O1" t="str">
        <v>PI</v>
      </c>
      <c r="P1" t="str">
        <v>Primary Focus</v>
      </c>
      <c r="Q1" t="str">
        <v>Secondary Focus</v>
      </c>
      <c r="R1" t="str">
        <v>실(영문)</v>
      </c>
      <c r="S1" t="str">
        <v>본부(영문)</v>
      </c>
    </row>
    <row r="2">
      <c r="A2" t="str">
        <v>1</v>
      </c>
      <c r="B2" t="str">
        <v>수탁과제</v>
      </c>
      <c r="C2" t="str">
        <v>2023-066</v>
      </c>
      <c r="D2" t="str">
        <v>단양 유네스코 세계지질공원 지정 추진 용역</v>
      </c>
      <c r="F2" t="str">
        <v>50018</v>
      </c>
      <c r="G2" t="str">
        <v>이수재</v>
      </c>
      <c r="H2" t="str">
        <v>201902192</v>
      </c>
      <c r="I2" t="str">
        <v>자연환경연구실</v>
      </c>
      <c r="J2">
        <v>174545450</v>
      </c>
      <c r="K2" s="1" t="d">
        <v>2023-05-07T23:59:08.000Z</v>
      </c>
      <c r="L2" s="1" t="d">
        <v>2025-02-24T23:59:08.000Z</v>
      </c>
      <c r="M2" t="str">
        <v>단양군청</v>
      </c>
      <c r="N2" t="str">
        <v>Supporting Danyang’s Bid for UNESCO Global Geopark Status</v>
      </c>
      <c r="O2" t="str">
        <f>IFERROR(VLOOKUP($G2,[1]DB2!$A:$B,2,0),"공동과책 확인")</f>
        <v>Lee, Soojae</v>
      </c>
      <c r="P2" t="str">
        <v>Ecology</v>
      </c>
      <c r="Q2" t="str">
        <v>Land and Urban Environment</v>
      </c>
      <c r="R2" t="str">
        <f>IFERROR(VLOOKUP($I2,[1]DB2!$F$2:$I$58,2,0),"옛날 부서명 확인")</f>
        <v xml:space="preserve">Natural Environment Division </v>
      </c>
      <c r="S2" t="str">
        <f>IFERROR(VLOOKUP($I2,[1]DB2!$F$2:$I$58,4,0),"옛날 부서명 확인")</f>
        <v xml:space="preserve">Land and Environment Research Group </v>
      </c>
    </row>
    <row r="3">
      <c r="A3" t="str">
        <v>2</v>
      </c>
      <c r="B3" t="str">
        <v>수탁과제</v>
      </c>
      <c r="C3" t="str">
        <v>2023-067</v>
      </c>
      <c r="D3" t="str">
        <v>백령대청 유네스코 세계지질공원 인증 추진 용역</v>
      </c>
      <c r="F3" t="str">
        <v>50018</v>
      </c>
      <c r="G3" t="str">
        <v>이수재</v>
      </c>
      <c r="H3" t="str">
        <v>202508192</v>
      </c>
      <c r="I3" t="str">
        <v>자연환경연구실</v>
      </c>
      <c r="J3">
        <v>449090900</v>
      </c>
      <c r="K3" s="1" t="d">
        <v>2023-05-09T23:59:08.000Z</v>
      </c>
      <c r="L3" s="1" t="d">
        <v>2026-09-09T23:59:08.000Z</v>
      </c>
      <c r="M3" t="str">
        <v>인천광역시</v>
      </c>
      <c r="N3" t="str">
        <v>Supporting Baengnyeong–Daecheong’s Bid for UNESCO Global Geopark Status</v>
      </c>
      <c r="O3" t="str">
        <f>IFERROR(VLOOKUP($G3,[1]DB2!$A:$B,2,0),"공동과책 확인")</f>
        <v>Lee, Soojae</v>
      </c>
      <c r="P3" t="str">
        <v>Ecology</v>
      </c>
      <c r="Q3" t="str">
        <v>Land and Urban Environment</v>
      </c>
      <c r="R3" t="str">
        <f>IFERROR(VLOOKUP($I3,[1]DB2!$F$2:$I$58,2,0),"옛날 부서명 확인")</f>
        <v xml:space="preserve">Natural Environment Division </v>
      </c>
      <c r="S3" t="str">
        <f>IFERROR(VLOOKUP($I3,[1]DB2!$F$2:$I$58,4,0),"옛날 부서명 확인")</f>
        <v xml:space="preserve">Land and Environment Research Group </v>
      </c>
    </row>
    <row r="4">
      <c r="A4" t="str">
        <v>3</v>
      </c>
      <c r="B4" t="str">
        <v>수탁과제</v>
      </c>
      <c r="C4" t="str">
        <v>2023-111</v>
      </c>
      <c r="D4" t="str">
        <v>군산시 해상풍력 주민수용성 확보 및 이해관계자 역량 강화 용역</v>
      </c>
      <c r="F4" t="str">
        <v>10155</v>
      </c>
      <c r="G4" t="str">
        <v>조공장</v>
      </c>
      <c r="H4" t="str">
        <v>202508189</v>
      </c>
      <c r="I4" t="str">
        <v>생활환경사회연구실</v>
      </c>
      <c r="J4">
        <v>621000000</v>
      </c>
      <c r="K4" s="1" t="d">
        <v>2023-12-26T23:59:08.000Z</v>
      </c>
      <c r="L4" s="1" t="d">
        <v>2025-10-30T23:59:08.000Z</v>
      </c>
      <c r="M4" t="str">
        <v>군산시청</v>
      </c>
      <c r="N4" t="str">
        <v>Enhancing Community Acceptance of Offshore Wind Power and Strengthening Stakeholder Capacity in Gunsan</v>
      </c>
      <c r="O4" t="str">
        <f>IFERROR(VLOOKUP($G4,[1]DB2!$A:$B,2,0),"공동과책 확인")</f>
        <v>Cho, Kongjang</v>
      </c>
      <c r="P4" t="str">
        <v>Socio-Environmental Interface</v>
      </c>
      <c r="Q4" t="str">
        <v>Carbon Neutrality and Energy</v>
      </c>
      <c r="R4" t="str">
        <f>IFERROR(VLOOKUP($I4,[1]DB2!$F$2:$I$58,2,0),"옛날 부서명 확인")</f>
        <v xml:space="preserve">Living Environment and Society Division </v>
      </c>
      <c r="S4" t="str">
        <f>IFERROR(VLOOKUP($I4,[1]DB2!$F$2:$I$58,4,0),"옛날 부서명 확인")</f>
        <v xml:space="preserve">Sustainable Development Research Group  </v>
      </c>
    </row>
    <row r="5">
      <c r="A5" t="str">
        <v>4</v>
      </c>
      <c r="B5" t="str">
        <v>수탁과제</v>
      </c>
      <c r="C5" t="str">
        <v>2024-020</v>
      </c>
      <c r="D5" t="str">
        <v>과학 기반 자연환경복원 전과정 관리방안 연구</v>
      </c>
      <c r="F5" t="str">
        <v>10282</v>
      </c>
      <c r="G5" t="str">
        <v>손승우</v>
      </c>
      <c r="H5" t="str">
        <v>201902191</v>
      </c>
      <c r="I5" t="str">
        <v>국토관리연구실</v>
      </c>
      <c r="J5">
        <v>136170000</v>
      </c>
      <c r="K5" s="1" t="d">
        <v>2024-01-17T23:59:08.000Z</v>
      </c>
      <c r="L5" s="1" t="d">
        <v>2025-01-15T23:59:08.000Z</v>
      </c>
      <c r="M5" t="str">
        <v>환경부</v>
      </c>
      <c r="N5" t="str">
        <v>A Study on Science-Based Approaches to Full-Cycle Management of Environmental Restoration</v>
      </c>
      <c r="O5" t="str">
        <f>IFERROR(VLOOKUP($G5,[1]DB2!$A:$B,2,0),"공동과책 확인")</f>
        <v>Son, Seungwoo</v>
      </c>
      <c r="P5" t="str">
        <v>Land and Urban Environment</v>
      </c>
      <c r="Q5" t="str">
        <v>Ecology</v>
      </c>
      <c r="R5" t="str">
        <f>IFERROR(VLOOKUP($I5,[1]DB2!$F$2:$I$58,2,0),"옛날 부서명 확인")</f>
        <v>Spatial Planning and Management Division</v>
      </c>
      <c r="S5" t="str">
        <f>IFERROR(VLOOKUP($I5,[1]DB2!$F$2:$I$58,4,0),"옛날 부서명 확인")</f>
        <v xml:space="preserve">Land and Environment Research Group </v>
      </c>
    </row>
    <row r="6">
      <c r="A6" t="str">
        <v>5</v>
      </c>
      <c r="B6" t="str">
        <v>수탁과제</v>
      </c>
      <c r="C6" t="str">
        <v>2024-040</v>
      </c>
      <c r="D6" t="str">
        <v>필리핀 도시 기후회복력 역량강화 사업 PMC 용역</v>
      </c>
      <c r="F6" t="str">
        <v>10166</v>
      </c>
      <c r="G6" t="str">
        <v>조한나</v>
      </c>
      <c r="H6" t="str">
        <v>202508123</v>
      </c>
      <c r="I6" t="str">
        <v>기후적응협력실</v>
      </c>
      <c r="J6">
        <v>458068280</v>
      </c>
      <c r="K6" s="1" t="d">
        <v>2024-02-26T23:59:08.000Z</v>
      </c>
      <c r="L6" s="1" t="d">
        <v>2026-12-30T23:59:08.000Z</v>
      </c>
      <c r="M6" t="str">
        <v>한국국제협력단</v>
      </c>
      <c r="N6" t="str">
        <v>Philippine Climate Resilience Cities Project (KOICA)</v>
      </c>
      <c r="O6" t="str">
        <f>IFERROR(VLOOKUP($G6,[1]DB2!$A:$B,2,0),"공동과책 확인")</f>
        <v>Cho, Hanna</v>
      </c>
      <c r="P6" t="str">
        <v>Climate Adaptation</v>
      </c>
      <c r="Q6" t="str">
        <v>International Environmental Collaboration</v>
      </c>
      <c r="R6" t="str">
        <f>IFERROR(VLOOKUP($I6,[1]DB2!$F$2:$I$58,2,0),"옛날 부서명 확인")</f>
        <v xml:space="preserve">Climate Adaptation Cooperation Division </v>
      </c>
      <c r="S6" t="str">
        <f>IFERROR(VLOOKUP($I6,[1]DB2!$F$2:$I$58,4,0),"옛날 부서명 확인")</f>
        <v xml:space="preserve">Korea Adaptation Center for Climate Change </v>
      </c>
    </row>
    <row r="7">
      <c r="A7" t="str">
        <v>6</v>
      </c>
      <c r="B7" t="str">
        <v>수탁과제</v>
      </c>
      <c r="C7" t="str">
        <v>2024-036(R)</v>
      </c>
      <c r="D7" t="str">
        <v>딥러닝 기반 생물다양성 예측 및 리질리언스 평가 기술 개발(4차년도)</v>
      </c>
      <c r="F7" t="str">
        <v>10346</v>
      </c>
      <c r="G7" t="str">
        <v>최유영</v>
      </c>
      <c r="H7" t="str">
        <v>201902164</v>
      </c>
      <c r="I7" t="str">
        <v>국토전략평가실</v>
      </c>
      <c r="J7">
        <v>107955000</v>
      </c>
      <c r="K7" s="1" t="d">
        <v>2024-02-29T23:59:08.000Z</v>
      </c>
      <c r="L7" s="1" t="d">
        <v>2025-02-27T23:59:08.000Z</v>
      </c>
      <c r="M7" t="str">
        <v>한국연구재단</v>
      </c>
      <c r="N7" t="str">
        <v>Resilience Assessment of Biodiversity Using Big Data and Intelligent Technology (RABBIT) (Year 4)</v>
      </c>
      <c r="O7" t="str">
        <f>IFERROR(VLOOKUP($G7,[1]DB2!$A:$B,2,0),"공동과책 확인")</f>
        <v>Choi, Yuyoung</v>
      </c>
      <c r="P7" t="str">
        <v>AI and Environmental Informatics</v>
      </c>
      <c r="Q7" t="str">
        <v>Ecology</v>
      </c>
      <c r="R7" t="str">
        <f>IFERROR(VLOOKUP($I7,[1]DB2!$F$2:$I$58,2,0),"옛날 부서명 확인")</f>
        <v xml:space="preserve">Land Strategy Assessment Division </v>
      </c>
      <c r="S7" t="str">
        <f>IFERROR(VLOOKUP($I7,[1]DB2!$F$2:$I$58,4,0),"옛날 부서명 확인")</f>
        <v xml:space="preserve">Environmental Assessment Group </v>
      </c>
    </row>
    <row r="8">
      <c r="A8" t="str">
        <v>7</v>
      </c>
      <c r="B8" t="str">
        <v>수탁과제</v>
      </c>
      <c r="C8" t="str">
        <v>2024-039(R)</v>
      </c>
      <c r="D8" t="str">
        <v>홍수피해 유형화 기반 취약지역 평가 및 피해액 추정 모형 개발 연구(2차년도)</v>
      </c>
      <c r="F8" t="str">
        <v>10333</v>
      </c>
      <c r="G8" t="str">
        <v>정기철</v>
      </c>
      <c r="H8" t="str">
        <v>201902175</v>
      </c>
      <c r="I8" t="str">
        <v>물관리연구실</v>
      </c>
      <c r="J8">
        <v>80415000</v>
      </c>
      <c r="K8" s="1" t="d">
        <v>2024-02-29T23:59:08.000Z</v>
      </c>
      <c r="L8" s="1" t="d">
        <v>2025-02-27T23:59:08.000Z</v>
      </c>
      <c r="M8" t="str">
        <v>한국연구재단</v>
      </c>
      <c r="N8" t="str">
        <v>Study on Developing a System for Flood Risk Evaluation and Expected Annual Damage based on Flood Damage Types (Year 2)</v>
      </c>
      <c r="O8" t="str">
        <f>IFERROR(VLOOKUP($G8,[1]DB2!$A:$B,2,0),"공동과책 확인")</f>
        <v xml:space="preserve">Jung, Kichul </v>
      </c>
      <c r="P8" t="str">
        <v>Water Management</v>
      </c>
      <c r="Q8" t="str">
        <v>Environmental Economics</v>
      </c>
      <c r="R8" t="str">
        <f>IFERROR(VLOOKUP($I8,[1]DB2!$F$2:$I$58,2,0),"옛날 부서명 확인")</f>
        <v xml:space="preserve">Water Management Division </v>
      </c>
      <c r="S8" t="str">
        <f>IFERROR(VLOOKUP($I8,[1]DB2!$F$2:$I$58,4,0),"옛날 부서명 확인")</f>
        <v xml:space="preserve">Land and Environment Research Group </v>
      </c>
    </row>
    <row r="9">
      <c r="A9" t="str">
        <v>8</v>
      </c>
      <c r="B9" t="str">
        <v>수탁과제</v>
      </c>
      <c r="C9" t="str">
        <v>2024-043</v>
      </c>
      <c r="D9" t="str">
        <v>국토환경 녹색복원 후보목록 2차년도 조사연구</v>
      </c>
      <c r="F9" t="str">
        <v>10282</v>
      </c>
      <c r="G9" t="str">
        <v>손승우</v>
      </c>
      <c r="H9" t="str">
        <v>201902191</v>
      </c>
      <c r="I9" t="str">
        <v>국토관리연구실</v>
      </c>
      <c r="J9">
        <v>180000000</v>
      </c>
      <c r="K9" s="1" t="d">
        <v>2024-03-19T23:59:08.000Z</v>
      </c>
      <c r="L9" s="1" t="d">
        <v>2025-03-18T23:59:08.000Z</v>
      </c>
      <c r="M9" t="str">
        <v>환경부</v>
      </c>
      <c r="N9" t="str">
        <v>Developing a National List of Candidate Sites for Ecological Restoration (Year 2)</v>
      </c>
      <c r="O9" t="str">
        <f>IFERROR(VLOOKUP($G9,[1]DB2!$A:$B,2,0),"공동과책 확인")</f>
        <v>Son, Seungwoo</v>
      </c>
      <c r="P9" t="str">
        <v>Land and Urban Environment</v>
      </c>
      <c r="Q9" t="str">
        <v>Ecology</v>
      </c>
      <c r="R9" t="str">
        <f>IFERROR(VLOOKUP($I9,[1]DB2!$F$2:$I$58,2,0),"옛날 부서명 확인")</f>
        <v>Spatial Planning and Management Division</v>
      </c>
      <c r="S9" t="str">
        <f>IFERROR(VLOOKUP($I9,[1]DB2!$F$2:$I$58,4,0),"옛날 부서명 확인")</f>
        <v xml:space="preserve">Land and Environment Research Group </v>
      </c>
    </row>
    <row r="10">
      <c r="A10" t="str">
        <v>9</v>
      </c>
      <c r="B10" t="str">
        <v>수탁과제</v>
      </c>
      <c r="C10" t="str">
        <v>2024-045</v>
      </c>
      <c r="D10" t="str">
        <v>AI기반 습지경계 자동분류 학습데이터 구축</v>
      </c>
      <c r="F10" t="str">
        <v>10162</v>
      </c>
      <c r="G10" t="str">
        <v>이명진</v>
      </c>
      <c r="H10" t="str">
        <v>201902191</v>
      </c>
      <c r="I10" t="str">
        <v>국토관리연구실</v>
      </c>
      <c r="J10">
        <v>38863630</v>
      </c>
      <c r="K10" s="1" t="d">
        <v>2024-03-20T23:59:08.000Z</v>
      </c>
      <c r="L10" s="1" t="d">
        <v>2025-01-13T23:59:08.000Z</v>
      </c>
      <c r="M10" t="str">
        <v>환경부</v>
      </c>
      <c r="N10" t="str">
        <v>Building an AI-Based Training Dataset for Automatic Wetland Boundary Classification</v>
      </c>
      <c r="O10" t="str">
        <f>IFERROR(VLOOKUP($G10,[1]DB2!$A:$B,2,0),"공동과책 확인")</f>
        <v>Lee, MoungJin</v>
      </c>
      <c r="P10" t="str">
        <v>AI and Environmental Informatics</v>
      </c>
      <c r="Q10" t="str">
        <v>Land and Urban Environment</v>
      </c>
      <c r="R10" t="str">
        <f>IFERROR(VLOOKUP($I10,[1]DB2!$F$2:$I$58,2,0),"옛날 부서명 확인")</f>
        <v>Spatial Planning and Management Division</v>
      </c>
      <c r="S10" t="str">
        <f>IFERROR(VLOOKUP($I10,[1]DB2!$F$2:$I$58,4,0),"옛날 부서명 확인")</f>
        <v xml:space="preserve">Land and Environment Research Group </v>
      </c>
    </row>
    <row r="11">
      <c r="A11" t="str">
        <v>10</v>
      </c>
      <c r="B11" t="str">
        <v>수탁과제</v>
      </c>
      <c r="C11" t="str">
        <v>2024-048</v>
      </c>
      <c r="D11" t="str">
        <v>신재생에너지 환경성평가 방안 연구</v>
      </c>
      <c r="F11" t="str">
        <v>10227</v>
      </c>
      <c r="G11" t="str">
        <v>김태윤</v>
      </c>
      <c r="H11" t="str">
        <v>201902165</v>
      </c>
      <c r="I11" t="str">
        <v>기후에너지평가실</v>
      </c>
      <c r="J11">
        <v>170000000</v>
      </c>
      <c r="K11" s="1" t="d">
        <v>2024-03-28T23:59:08.000Z</v>
      </c>
      <c r="L11" s="1" t="d">
        <v>2025-01-21T23:59:08.000Z</v>
      </c>
      <c r="M11" t="str">
        <v>환경부 환경영향평가과</v>
      </c>
      <c r="N11" t="str">
        <v>Developing Methodologies for Environmental Assessment of Renewable Energy</v>
      </c>
      <c r="O11" t="str">
        <f>IFERROR(VLOOKUP($G11,[1]DB2!$A:$B,2,0),"공동과책 확인")</f>
        <v>Kim, Taeyun</v>
      </c>
      <c r="P11" t="str">
        <v>Environmental Assessment</v>
      </c>
      <c r="Q11" t="str">
        <v>Carbon Neutrality and Energy</v>
      </c>
      <c r="R11" t="str">
        <f>IFERROR(VLOOKUP($I11,[1]DB2!$F$2:$I$58,2,0),"옛날 부서명 확인")</f>
        <v xml:space="preserve">Climate and Energy Assessment Division </v>
      </c>
      <c r="S11" t="str">
        <f>IFERROR(VLOOKUP($I11,[1]DB2!$F$2:$I$58,4,0),"옛날 부서명 확인")</f>
        <v xml:space="preserve">Environmental Assessment Group </v>
      </c>
    </row>
    <row r="12">
      <c r="A12" t="str">
        <v>11</v>
      </c>
      <c r="B12" t="str">
        <v>수탁과제</v>
      </c>
      <c r="C12" t="str">
        <v>2024-056</v>
      </c>
      <c r="D12" t="str">
        <v>국가검진자료-대기노출량 연계빅데이터를 활용한 질병발생영향분석 및 연구용 DATA 공개</v>
      </c>
      <c r="F12" t="str">
        <v>10228</v>
      </c>
      <c r="G12" t="str">
        <v>강성원</v>
      </c>
      <c r="H12" t="str">
        <v>201902200</v>
      </c>
      <c r="I12" t="str">
        <v>녹색경제연구실</v>
      </c>
      <c r="J12">
        <v>191545450</v>
      </c>
      <c r="K12" s="1" t="d">
        <v>2024-03-31T23:59:08.000Z</v>
      </c>
      <c r="L12" s="1" t="d">
        <v>2025-04-29T23:59:08.000Z</v>
      </c>
      <c r="M12" t="str">
        <v>질병관리청 국립보건연구원</v>
      </c>
      <c r="N12" t="str">
        <v>Analysis of Disease Incidence Using Linked Big Data on National Health Screening Records and Air Pollution Exposure, and Public Release of Research Dataset</v>
      </c>
      <c r="O12" t="str">
        <f>IFERROR(VLOOKUP($G12,[1]DB2!$A:$B,2,0),"공동과책 확인")</f>
        <v>Kang, Sungwon</v>
      </c>
      <c r="P12" t="str">
        <v>Environmental Health</v>
      </c>
      <c r="Q12" t="str">
        <v>Atmospheric Environment</v>
      </c>
      <c r="R12" t="str">
        <f>IFERROR(VLOOKUP($I12,[1]DB2!$F$2:$I$58,2,0),"옛날 부서명 확인")</f>
        <v xml:space="preserve">Green Economy Division </v>
      </c>
      <c r="S12" t="str">
        <f>IFERROR(VLOOKUP($I12,[1]DB2!$F$2:$I$58,4,0),"옛날 부서명 확인")</f>
        <v xml:space="preserve">Climate and Atmospheric Strategy Research Group  </v>
      </c>
    </row>
    <row r="13">
      <c r="A13" t="str">
        <v>13</v>
      </c>
      <c r="B13" t="str">
        <v>연구개발적립금</v>
      </c>
      <c r="C13" t="str">
        <v>RR2024-02</v>
      </c>
      <c r="D13" t="str">
        <v>글로벌 기후정책의 대응을 위한 주제별 공동연구</v>
      </c>
      <c r="F13" t="str">
        <v>10252</v>
      </c>
      <c r="G13" t="str">
        <v>장훈</v>
      </c>
      <c r="H13" t="str">
        <v>201902199</v>
      </c>
      <c r="I13" t="str">
        <v>기후대기전략연구본부</v>
      </c>
      <c r="J13">
        <v>140000000</v>
      </c>
      <c r="K13" s="1" t="d">
        <v>2024-03-31T23:59:08.000Z</v>
      </c>
      <c r="L13" s="1" t="d">
        <v>2025-05-30T23:59:08.000Z</v>
      </c>
      <c r="N13" t="str">
        <v>Thematic Collaborative Research on Addressing Global Climate Policies</v>
      </c>
      <c r="O13" t="str">
        <f>IFERROR(VLOOKUP($G13,[1]DB2!$A:$B,2,0),"공동과책 확인")</f>
        <v>Chang, Hoon</v>
      </c>
      <c r="P13" t="str">
        <v>Climate Adaptation</v>
      </c>
      <c r="R13" t="str">
        <f>IFERROR(VLOOKUP($I13,[1]DB2!$F$2:$I$58,2,0),"옛날 부서명 확인")</f>
        <v xml:space="preserve">Climate and Atmospheric Strategy Research Group  </v>
      </c>
      <c r="S13" t="str">
        <f>IFERROR(VLOOKUP($I13,[1]DB2!$F$2:$I$58,4,0),"옛날 부서명 확인")</f>
        <v xml:space="preserve">Climate and Atmospheric Strategy Research Group  </v>
      </c>
    </row>
    <row r="14">
      <c r="A14" t="str">
        <v>14</v>
      </c>
      <c r="B14" t="str">
        <v>연구개발적립금</v>
      </c>
      <c r="C14" t="str">
        <v>RR2024-03</v>
      </c>
      <c r="D14" t="str">
        <v>디지털 기술 적용 환경평가 지원도구 전략 수립 및 기능개선 연구</v>
      </c>
      <c r="F14" t="str">
        <v>10275</v>
      </c>
      <c r="G14" t="str">
        <v>김유미</v>
      </c>
      <c r="H14" t="str">
        <v>201902102</v>
      </c>
      <c r="I14" t="str">
        <v>기후에너지평가실</v>
      </c>
      <c r="J14">
        <v>140000000</v>
      </c>
      <c r="K14" s="1" t="d">
        <v>2024-03-31T23:59:08.000Z</v>
      </c>
      <c r="L14" s="1" t="d">
        <v>2025-03-30T23:59:08.000Z</v>
      </c>
      <c r="N14" t="str">
        <v>Strategic Development and Functional Improvement of Digital Environmental Assessment Support Tools</v>
      </c>
      <c r="O14" t="str">
        <f>IFERROR(VLOOKUP($G14,[1]DB2!$A:$B,2,0),"공동과책 확인")</f>
        <v>Kim, Yumi</v>
      </c>
      <c r="P14" t="str">
        <v>AI and Environmental Informatics</v>
      </c>
      <c r="Q14" t="str">
        <v>Environmental Assessment</v>
      </c>
      <c r="R14" t="str">
        <f>IFERROR(VLOOKUP($I14,[1]DB2!$F$2:$I$58,2,0),"옛날 부서명 확인")</f>
        <v xml:space="preserve">Climate and Energy Assessment Division </v>
      </c>
      <c r="S14" t="str">
        <f>IFERROR(VLOOKUP($I14,[1]DB2!$F$2:$I$58,4,0),"옛날 부서명 확인")</f>
        <v xml:space="preserve">Environmental Assessment Group </v>
      </c>
    </row>
    <row r="15">
      <c r="A15" t="str">
        <v>15</v>
      </c>
      <c r="B15" t="str">
        <v>연구개발적립금</v>
      </c>
      <c r="C15" t="str">
        <v>RR2024-04</v>
      </c>
      <c r="D15" t="str">
        <v>한국형 탄소중립도시 지정 및 제도 마련 연구</v>
      </c>
      <c r="F15" t="str">
        <v>10132</v>
      </c>
      <c r="G15" t="str">
        <v>박창석</v>
      </c>
      <c r="H15" t="str">
        <v>201902191</v>
      </c>
      <c r="I15" t="str">
        <v>임원실</v>
      </c>
      <c r="J15">
        <v>90000000</v>
      </c>
      <c r="K15" s="1" t="d">
        <v>2024-03-31T23:59:08.000Z</v>
      </c>
      <c r="L15" s="1" t="d">
        <v>2025-03-30T23:59:08.000Z</v>
      </c>
      <c r="N15" t="str">
        <v>Study on the Designation and Institutional Development for K-Carbon Neutral Cities</v>
      </c>
      <c r="O15" t="str">
        <f>IFERROR(VLOOKUP($G15,[1]DB2!$A:$B,2,0),"공동과책 확인")</f>
        <v>Park, Chang Sug</v>
      </c>
      <c r="P15" t="str">
        <v>Carbon Neutrality and Energy</v>
      </c>
      <c r="Q15" t="str">
        <v>Land and Urban Environment</v>
      </c>
      <c r="R15" t="str">
        <f>IFERROR(VLOOKUP($I15,[1]DB2!$F$2:$I$58,2,0),"옛날 부서명 확인")</f>
        <v>Executive Office</v>
      </c>
      <c r="S15" t="str">
        <f>IFERROR(VLOOKUP($I15,[1]DB2!$F$2:$I$58,4,0),"옛날 부서명 확인")</f>
        <v>Executive Office</v>
      </c>
    </row>
    <row r="16">
      <c r="A16" t="str">
        <v>16</v>
      </c>
      <c r="B16" t="str">
        <v>수탁과제</v>
      </c>
      <c r="C16" t="str">
        <v>2024-032</v>
      </c>
      <c r="D16" t="str">
        <v>아프리카돼지열병(ASF) 차단울타리 효과 분석 및 관리 개선방안 연구</v>
      </c>
      <c r="F16" t="str">
        <v>10300</v>
      </c>
      <c r="G16" t="str">
        <v>구경아</v>
      </c>
      <c r="H16" t="str">
        <v>201902192</v>
      </c>
      <c r="I16" t="str">
        <v>자연환경연구실</v>
      </c>
      <c r="J16">
        <v>86363630</v>
      </c>
      <c r="K16" s="1" t="d">
        <v>2024-04-07T23:59:08.000Z</v>
      </c>
      <c r="L16" s="1" t="d">
        <v>2025-06-06T23:59:08.000Z</v>
      </c>
      <c r="M16" t="str">
        <v>환경부</v>
      </c>
      <c r="N16" t="str">
        <v>Evaluating the Effectiveness of African Swine Fever (ASF) Control Fencing and Strategies for Improved Management</v>
      </c>
      <c r="O16" t="str">
        <f>IFERROR(VLOOKUP($G16,[1]DB2!$A:$B,2,0),"공동과책 확인")</f>
        <v xml:space="preserve">Koo, Kyung Ah </v>
      </c>
      <c r="P16" t="str">
        <v>Environmental Health</v>
      </c>
      <c r="Q16" t="str">
        <v>Ecology</v>
      </c>
      <c r="R16" t="str">
        <f>IFERROR(VLOOKUP($I16,[1]DB2!$F$2:$I$58,2,0),"옛날 부서명 확인")</f>
        <v xml:space="preserve">Natural Environment Division </v>
      </c>
      <c r="S16" t="str">
        <f>IFERROR(VLOOKUP($I16,[1]DB2!$F$2:$I$58,4,0),"옛날 부서명 확인")</f>
        <v xml:space="preserve">Land and Environment Research Group </v>
      </c>
    </row>
    <row r="17">
      <c r="A17" t="str">
        <v>17</v>
      </c>
      <c r="B17" t="str">
        <v>수탁과제</v>
      </c>
      <c r="C17" t="str">
        <v>2024-053</v>
      </c>
      <c r="D17" t="str">
        <v>물분야 국제협력 활성화 연구(Ⅰ)</v>
      </c>
      <c r="F17" t="str">
        <v>10184</v>
      </c>
      <c r="G17" t="str">
        <v>김익재</v>
      </c>
      <c r="H17" t="str">
        <v>201902190</v>
      </c>
      <c r="I17" t="str">
        <v>물관리연구실</v>
      </c>
      <c r="J17">
        <v>90000000</v>
      </c>
      <c r="K17" s="1" t="d">
        <v>2024-04-16T23:59:08.000Z</v>
      </c>
      <c r="L17" s="1" t="d">
        <v>2025-02-09T23:59:08.000Z</v>
      </c>
      <c r="M17" t="str">
        <v>환경부</v>
      </c>
      <c r="N17" t="str">
        <v>Promoting International Cooperation in the Water Sector (I)</v>
      </c>
      <c r="O17" t="str">
        <f>IFERROR(VLOOKUP($G17,[1]DB2!$A:$B,2,0),"공동과책 확인")</f>
        <v>Kim, Ikjae</v>
      </c>
      <c r="P17" t="str">
        <v>Water Management</v>
      </c>
      <c r="Q17" t="str">
        <v>International Environmental Collaboration</v>
      </c>
      <c r="R17" t="str">
        <f>IFERROR(VLOOKUP($I17,[1]DB2!$F$2:$I$58,2,0),"옛날 부서명 확인")</f>
        <v xml:space="preserve">Water Management Division </v>
      </c>
      <c r="S17" t="str">
        <f>IFERROR(VLOOKUP($I17,[1]DB2!$F$2:$I$58,4,0),"옛날 부서명 확인")</f>
        <v xml:space="preserve">Land and Environment Research Group </v>
      </c>
    </row>
    <row r="18">
      <c r="A18" t="str">
        <v>18</v>
      </c>
      <c r="B18" t="str">
        <v>수탁과제</v>
      </c>
      <c r="C18" t="str">
        <v>2024-054</v>
      </c>
      <c r="D18" t="str">
        <v>2024년 환경관련 조세 및 세입계정 통계 작성</v>
      </c>
      <c r="F18" t="str">
        <v>10228</v>
      </c>
      <c r="G18" t="str">
        <v>강성원</v>
      </c>
      <c r="H18" t="str">
        <v>201902200</v>
      </c>
      <c r="I18" t="str">
        <v>녹색경제연구실</v>
      </c>
      <c r="J18">
        <v>86363630</v>
      </c>
      <c r="K18" s="1" t="d">
        <v>2024-04-17T23:59:08.000Z</v>
      </c>
      <c r="L18" s="1" t="d">
        <v>2025-01-11T23:59:08.000Z</v>
      </c>
      <c r="M18" t="str">
        <v>환경부</v>
      </c>
      <c r="N18" t="str">
        <v>Compilation of 2024 Environmental Tax and Revenue Account Statistics</v>
      </c>
      <c r="O18" t="str">
        <f>IFERROR(VLOOKUP($G18,[1]DB2!$A:$B,2,0),"공동과책 확인")</f>
        <v>Kang, Sungwon</v>
      </c>
      <c r="P18" t="str">
        <v>Environmental Economics</v>
      </c>
      <c r="R18" t="str">
        <f>IFERROR(VLOOKUP($I18,[1]DB2!$F$2:$I$58,2,0),"옛날 부서명 확인")</f>
        <v xml:space="preserve">Green Economy Division </v>
      </c>
      <c r="S18" t="str">
        <f>IFERROR(VLOOKUP($I18,[1]DB2!$F$2:$I$58,4,0),"옛날 부서명 확인")</f>
        <v xml:space="preserve">Climate and Atmospheric Strategy Research Group  </v>
      </c>
    </row>
    <row r="19">
      <c r="A19" t="str">
        <v>19</v>
      </c>
      <c r="B19" t="str">
        <v>수탁과제</v>
      </c>
      <c r="C19" t="str">
        <v>2024-055</v>
      </c>
      <c r="D19" t="str">
        <v>익산왕궁 자연환경복원사업 기본계획 및 예비타당성조사 대응방안 연구용역</v>
      </c>
      <c r="F19" t="str">
        <v>10282</v>
      </c>
      <c r="G19" t="str">
        <v>손승우</v>
      </c>
      <c r="H19" t="str">
        <v>201902191</v>
      </c>
      <c r="I19" t="str">
        <v>국토관리연구실</v>
      </c>
      <c r="J19">
        <v>95950000</v>
      </c>
      <c r="K19" s="1" t="d">
        <v>2024-04-25T23:59:08.000Z</v>
      </c>
      <c r="L19" s="1" t="d">
        <v>2025-04-24T23:59:08.000Z</v>
      </c>
      <c r="M19" t="str">
        <v>전북특별자치도</v>
      </c>
      <c r="N19" t="str">
        <v>Developing Response Strategies for Framework Plan and Feasibility Assessment in Environmental Restoration of Wanggung-ri, Iksan</v>
      </c>
      <c r="O19" t="str">
        <f>IFERROR(VLOOKUP($G19,[1]DB2!$A:$B,2,0),"공동과책 확인")</f>
        <v>Son, Seungwoo</v>
      </c>
      <c r="P19" t="str">
        <v>Land and Urban Environment</v>
      </c>
      <c r="Q19" t="str">
        <v>Ecology</v>
      </c>
      <c r="R19" t="str">
        <f>IFERROR(VLOOKUP($I19,[1]DB2!$F$2:$I$58,2,0),"옛날 부서명 확인")</f>
        <v>Spatial Planning and Management Division</v>
      </c>
      <c r="S19" t="str">
        <f>IFERROR(VLOOKUP($I19,[1]DB2!$F$2:$I$58,4,0),"옛날 부서명 확인")</f>
        <v xml:space="preserve">Land and Environment Research Group </v>
      </c>
    </row>
    <row r="20">
      <c r="A20" t="str">
        <v>20</v>
      </c>
      <c r="B20" t="str">
        <v>수탁과제</v>
      </c>
      <c r="C20" t="str">
        <v>2024-061</v>
      </c>
      <c r="D20" t="str">
        <v>환경분야 국제개발협력사업 관련 규정 제개정안 마련 연구</v>
      </c>
      <c r="F20" t="str">
        <v>10185</v>
      </c>
      <c r="G20" t="str">
        <v>명수정</v>
      </c>
      <c r="H20" t="str">
        <v>201902192</v>
      </c>
      <c r="I20" t="str">
        <v>자연환경연구실</v>
      </c>
      <c r="J20">
        <v>50500000</v>
      </c>
      <c r="K20" s="1" t="d">
        <v>2024-04-30T23:59:08.000Z</v>
      </c>
      <c r="L20" s="1" t="d">
        <v>2025-02-25T23:59:08.000Z</v>
      </c>
      <c r="M20" t="str">
        <v>환경부</v>
      </c>
      <c r="N20" t="str">
        <v>Preparing Regulatory Revisions for Environmental International Development Cooperation Projects</v>
      </c>
      <c r="O20" t="str">
        <f>IFERROR(VLOOKUP($G20,[1]DB2!$A:$B,2,0),"공동과책 확인")</f>
        <v>Myeong, Soojeong</v>
      </c>
      <c r="P20" t="str">
        <v>International Environmental Collaboration</v>
      </c>
      <c r="R20" t="str">
        <f>IFERROR(VLOOKUP($I20,[1]DB2!$F$2:$I$58,2,0),"옛날 부서명 확인")</f>
        <v xml:space="preserve">Natural Environment Division </v>
      </c>
      <c r="S20" t="str">
        <f>IFERROR(VLOOKUP($I20,[1]DB2!$F$2:$I$58,4,0),"옛날 부서명 확인")</f>
        <v xml:space="preserve">Land and Environment Research Group </v>
      </c>
    </row>
    <row r="21">
      <c r="A21" t="str">
        <v>21</v>
      </c>
      <c r="B21" t="str">
        <v>연구개발적립금</v>
      </c>
      <c r="C21" t="str">
        <v>RR2024-01</v>
      </c>
      <c r="D21" t="str">
        <v>기후위기 대응 하구·연안 통합환경정보체계 시범 구축(II)</v>
      </c>
      <c r="F21" t="str">
        <v>10132</v>
      </c>
      <c r="G21" t="str">
        <v>박창석</v>
      </c>
      <c r="H21" t="str">
        <v>201902182</v>
      </c>
      <c r="I21" t="str">
        <v>임원실</v>
      </c>
      <c r="J21">
        <v>140000000</v>
      </c>
      <c r="K21" s="1" t="d">
        <v>2024-04-30T23:59:08.000Z</v>
      </c>
      <c r="L21" s="1" t="d">
        <v>2025-04-29T23:59:08.000Z</v>
      </c>
      <c r="N21" t="str">
        <v>Establishment of an Estuary and Coastal Integrated Environmental Information System to Respond to the Climate Crisis (II)</v>
      </c>
      <c r="O21" t="str">
        <f>IFERROR(VLOOKUP($G21,[1]DB2!$A:$B,2,0),"공동과책 확인")</f>
        <v>Park, Chang Sug</v>
      </c>
      <c r="P21" t="str">
        <v>AI and Environmental Informatics</v>
      </c>
      <c r="Q21" t="str">
        <v>Marine Environment</v>
      </c>
      <c r="R21" t="str">
        <f>IFERROR(VLOOKUP($I21,[1]DB2!$F$2:$I$58,2,0),"옛날 부서명 확인")</f>
        <v>Executive Office</v>
      </c>
      <c r="S21" t="str">
        <f>IFERROR(VLOOKUP($I21,[1]DB2!$F$2:$I$58,4,0),"옛날 부서명 확인")</f>
        <v>Executive Office</v>
      </c>
    </row>
    <row r="22">
      <c r="A22" t="str">
        <v>22</v>
      </c>
      <c r="B22" t="str">
        <v>연구개발적립금</v>
      </c>
      <c r="C22" t="str">
        <v>RR2024-07</v>
      </c>
      <c r="D22" t="str">
        <v>지속가능사회 구축을 위한 재생에너지 한일중 비교 연구</v>
      </c>
      <c r="F22" t="str">
        <v>10236</v>
      </c>
      <c r="G22" t="str">
        <v>서양원</v>
      </c>
      <c r="H22" t="str">
        <v>201902178</v>
      </c>
      <c r="I22" t="str">
        <v>지속가능발전연구본부</v>
      </c>
      <c r="J22">
        <v>140000000</v>
      </c>
      <c r="K22" s="1" t="d">
        <v>2024-04-30T23:59:08.000Z</v>
      </c>
      <c r="L22" s="1" t="d">
        <v>2025-04-29T23:59:08.000Z</v>
      </c>
      <c r="N22" t="str">
        <v>A Study of Renewable Energy in South Korea, Japan, and China</v>
      </c>
      <c r="O22" t="str">
        <f>IFERROR(VLOOKUP($G22,[1]DB2!$A:$B,2,0),"공동과책 확인")</f>
        <v>Suh, Yang-won</v>
      </c>
      <c r="P22" t="str">
        <v>Carbon Neutrality and Energy</v>
      </c>
      <c r="Q22" t="str">
        <v>Sustainable Development</v>
      </c>
      <c r="R22" t="str">
        <f>IFERROR(VLOOKUP($I22,[1]DB2!$F$2:$I$58,2,0),"옛날 부서명 확인")</f>
        <v xml:space="preserve">Sustainable Development Research Group  </v>
      </c>
      <c r="S22" t="str">
        <f>IFERROR(VLOOKUP($I22,[1]DB2!$F$2:$I$58,4,0),"옛날 부서명 확인")</f>
        <v xml:space="preserve">Sustainable Development Research Group  </v>
      </c>
    </row>
    <row r="23">
      <c r="A23" t="str">
        <v>23</v>
      </c>
      <c r="B23" t="str">
        <v>연구개발적립금</v>
      </c>
      <c r="C23" t="str">
        <v>RR2024-08</v>
      </c>
      <c r="D23" t="str">
        <v>극단적 홍수 및 가뭄 발생으로 인한 워터리스크의 전략적 대응 방안 연구</v>
      </c>
      <c r="F23" t="str">
        <v>10205</v>
      </c>
      <c r="G23" t="str">
        <v>강형식</v>
      </c>
      <c r="H23" t="str">
        <v>201902190</v>
      </c>
      <c r="I23" t="str">
        <v>국토환경연구본부</v>
      </c>
      <c r="J23">
        <v>140000000</v>
      </c>
      <c r="K23" s="1" t="d">
        <v>2024-04-30T23:59:08.000Z</v>
      </c>
      <c r="L23" s="1" t="d">
        <v>2025-04-29T23:59:08.000Z</v>
      </c>
      <c r="N23" t="str">
        <v>Strategic Responses to Water Risks from Extreme Floods and Droughts: Focusing on the Han River Basin</v>
      </c>
      <c r="O23" t="str">
        <f>IFERROR(VLOOKUP($G23,[1]DB2!$A:$B,2,0),"공동과책 확인")</f>
        <v>Kang, Hyeongsik</v>
      </c>
      <c r="P23" t="str">
        <v>Water Management</v>
      </c>
      <c r="Q23" t="str">
        <v>Climate Adaptation</v>
      </c>
      <c r="R23" t="str">
        <f>IFERROR(VLOOKUP($I23,[1]DB2!$F$2:$I$58,2,0),"옛날 부서명 확인")</f>
        <v xml:space="preserve">Land and Environment Research Group </v>
      </c>
      <c r="S23" t="str">
        <f>IFERROR(VLOOKUP($I23,[1]DB2!$F$2:$I$58,4,0),"옛날 부서명 확인")</f>
        <v xml:space="preserve">Land and Environment Research Group </v>
      </c>
    </row>
    <row r="24">
      <c r="A24" t="str">
        <v>24</v>
      </c>
      <c r="B24" t="str">
        <v>연구개발적립금</v>
      </c>
      <c r="C24" t="str">
        <v>RR2024-09</v>
      </c>
      <c r="D24" t="str">
        <v>지불의사액 추정을 통한 친환경 인증제도 개선방안 마련 연구</v>
      </c>
      <c r="F24" t="str">
        <v>10325</v>
      </c>
      <c r="G24" t="str">
        <v>박주영</v>
      </c>
      <c r="H24" t="str">
        <v>201902200</v>
      </c>
      <c r="I24" t="str">
        <v>녹색경제연구실</v>
      </c>
      <c r="J24">
        <v>34702000</v>
      </c>
      <c r="K24" s="1" t="d">
        <v>2024-04-30T23:59:08.000Z</v>
      </c>
      <c r="L24" s="1" t="d">
        <v>2025-04-29T23:59:08.000Z</v>
      </c>
      <c r="N24" t="str">
        <v>Study on Improving the Eco-Labeling System through Willingness-to-Pay Analysis</v>
      </c>
      <c r="O24" t="str">
        <f>IFERROR(VLOOKUP($G24,[1]DB2!$A:$B,2,0),"공동과책 확인")</f>
        <v xml:space="preserve">Park, Juyoung </v>
      </c>
      <c r="P24" t="str">
        <v>Environmental Economics</v>
      </c>
      <c r="Q24" t="str">
        <v>Circular Economy</v>
      </c>
      <c r="R24" t="str">
        <f>IFERROR(VLOOKUP($I24,[1]DB2!$F$2:$I$58,2,0),"옛날 부서명 확인")</f>
        <v xml:space="preserve">Green Economy Division </v>
      </c>
      <c r="S24" t="str">
        <f>IFERROR(VLOOKUP($I24,[1]DB2!$F$2:$I$58,4,0),"옛날 부서명 확인")</f>
        <v xml:space="preserve">Climate and Atmospheric Strategy Research Group  </v>
      </c>
    </row>
    <row r="25">
      <c r="A25" t="str">
        <v>25</v>
      </c>
      <c r="B25" t="str">
        <v>연구개발적립금</v>
      </c>
      <c r="C25" t="str">
        <v>RR2024-10</v>
      </c>
      <c r="D25" t="str">
        <v>탄소중립 이행 촉진 및 대기오염 동시 감축을 위한 대기관리체계 전환 방안</v>
      </c>
      <c r="F25" t="str">
        <v>10311</v>
      </c>
      <c r="G25" t="str">
        <v>최기철,이승민</v>
      </c>
      <c r="H25" t="str">
        <v>201902187</v>
      </c>
      <c r="I25" t="str">
        <v>대기환경연구실</v>
      </c>
      <c r="J25">
        <v>35000000</v>
      </c>
      <c r="K25" s="1" t="d">
        <v>2024-04-30T23:59:08.000Z</v>
      </c>
      <c r="L25" s="1" t="d">
        <v>2025-04-29T23:59:08.000Z</v>
      </c>
      <c r="N25" t="str">
        <v>Transitioning the Air Quality Management System to Simultaneously Promote Carbon Neutrality  and Air Pollution Reduction</v>
      </c>
      <c r="O25" t="str">
        <v>Choi, Ki-Chul and Lee, Seungmin</v>
      </c>
      <c r="P25" t="str">
        <v>Atmospheric Environment</v>
      </c>
      <c r="Q25" t="str">
        <v>Carbon Neutrality and Energy</v>
      </c>
      <c r="R25" t="str">
        <f>IFERROR(VLOOKUP($I25,[1]DB2!$F$2:$I$58,2,0),"옛날 부서명 확인")</f>
        <v>Atmospheric Environment Division</v>
      </c>
      <c r="S25" t="str">
        <f>IFERROR(VLOOKUP($I25,[1]DB2!$F$2:$I$58,4,0),"옛날 부서명 확인")</f>
        <v xml:space="preserve">Climate and Atmospheric Strategy Research Group  </v>
      </c>
    </row>
    <row r="26">
      <c r="A26" t="str">
        <v>26</v>
      </c>
      <c r="B26" t="str">
        <v>연구개발적립금</v>
      </c>
      <c r="C26" t="str">
        <v>RR2024-11</v>
      </c>
      <c r="D26" t="str">
        <v>기후위기 대응을 위한 하천사업의 환경평가 방안</v>
      </c>
      <c r="F26" t="str">
        <v>10194</v>
      </c>
      <c r="G26" t="str">
        <v>이진희</v>
      </c>
      <c r="H26" t="str">
        <v>201902165</v>
      </c>
      <c r="I26" t="str">
        <v>환경자원평가실</v>
      </c>
      <c r="J26">
        <v>34036000</v>
      </c>
      <c r="K26" s="1" t="d">
        <v>2024-04-30T23:59:08.000Z</v>
      </c>
      <c r="L26" s="1" t="d">
        <v>2025-04-29T23:59:08.000Z</v>
      </c>
      <c r="N26" t="str">
        <v>Environmental Assessment Strategies for River Projects in Response to the Climate Crisis</v>
      </c>
      <c r="O26" t="str">
        <f>IFERROR(VLOOKUP($G26,[1]DB2!$A:$B,2,0),"공동과책 확인")</f>
        <v>Lee, Jinhee</v>
      </c>
      <c r="P26" t="str">
        <v>Environmental Assessment</v>
      </c>
      <c r="Q26" t="str">
        <v>Water Management</v>
      </c>
      <c r="R26" t="str">
        <f>IFERROR(VLOOKUP($I26,[1]DB2!$F$2:$I$58,2,0),"옛날 부서명 확인")</f>
        <v xml:space="preserve">Environmental Resources Assessment Division </v>
      </c>
      <c r="S26" t="str">
        <f>IFERROR(VLOOKUP($I26,[1]DB2!$F$2:$I$58,4,0),"옛날 부서명 확인")</f>
        <v xml:space="preserve">Environmental Assessment Group </v>
      </c>
    </row>
    <row r="27">
      <c r="A27" t="str">
        <v>27</v>
      </c>
      <c r="B27" t="str">
        <v>연구개발적립금</v>
      </c>
      <c r="C27" t="str">
        <v>RR2024-14</v>
      </c>
      <c r="D27" t="str">
        <v>재생에너지-전력망 통합계획 제도화방안 연구</v>
      </c>
      <c r="F27" t="str">
        <v>10321</v>
      </c>
      <c r="G27" t="str">
        <v>이재혁</v>
      </c>
      <c r="H27" t="str">
        <v>201902200</v>
      </c>
      <c r="I27" t="str">
        <v>생활환경사회연구실</v>
      </c>
      <c r="J27">
        <v>50000000</v>
      </c>
      <c r="K27" s="1" t="d">
        <v>2024-04-30T23:59:08.000Z</v>
      </c>
      <c r="L27" s="1" t="d">
        <v>2025-04-29T23:59:08.000Z</v>
      </c>
      <c r="N27" t="str">
        <v>International Comparison of Renewable Energy and Grid Integration Planning Schemes</v>
      </c>
      <c r="O27" t="str">
        <f>IFERROR(VLOOKUP($G27,[1]DB2!$A:$B,2,0),"공동과책 확인")</f>
        <v>Lee, Jae-hyuck</v>
      </c>
      <c r="P27" t="str">
        <v>Carbon Neutrality and Energy</v>
      </c>
      <c r="Q27" t="str">
        <v>International Environmental Collaboration</v>
      </c>
      <c r="R27" t="str">
        <f>IFERROR(VLOOKUP($I27,[1]DB2!$F$2:$I$58,2,0),"옛날 부서명 확인")</f>
        <v xml:space="preserve">Living Environment and Society Division </v>
      </c>
      <c r="S27" t="str">
        <f>IFERROR(VLOOKUP($I27,[1]DB2!$F$2:$I$58,4,0),"옛날 부서명 확인")</f>
        <v xml:space="preserve">Sustainable Development Research Group  </v>
      </c>
    </row>
    <row r="28">
      <c r="A28" t="str">
        <v>28</v>
      </c>
      <c r="B28" t="str">
        <v>연구개발적립금</v>
      </c>
      <c r="C28" t="str">
        <v>RR2024-15</v>
      </c>
      <c r="D28" t="str">
        <v>주민 탄소발자국 감축 도시계획요소 및 정책 수용성 비교 연구 - 한국과 독일을 대상으로</v>
      </c>
      <c r="F28" t="str">
        <v>10253</v>
      </c>
      <c r="G28" t="str">
        <v>김태현</v>
      </c>
      <c r="H28" t="str">
        <v>201902191</v>
      </c>
      <c r="I28" t="str">
        <v>국토관리연구실</v>
      </c>
      <c r="J28">
        <v>50000000</v>
      </c>
      <c r="K28" s="1" t="d">
        <v>2024-04-30T23:59:08.000Z</v>
      </c>
      <c r="L28" s="1" t="d">
        <v>2025-04-29T23:59:08.000Z</v>
      </c>
      <c r="N28" t="str">
        <v>Comparative Study on Urban Planning Elements and Policy Acceptability to Reduce Residents’ Carbon Footprint : Targeting Korea and Germany</v>
      </c>
      <c r="O28" t="str">
        <f>IFERROR(VLOOKUP($G28,[1]DB2!$A:$B,2,0),"공동과책 확인")</f>
        <v xml:space="preserve">Kim, Taehyun </v>
      </c>
      <c r="P28" t="str">
        <v>Land and Urban Environment</v>
      </c>
      <c r="Q28" t="str">
        <v>International Environmental Collaboration</v>
      </c>
      <c r="R28" t="str">
        <f>IFERROR(VLOOKUP($I28,[1]DB2!$F$2:$I$58,2,0),"옛날 부서명 확인")</f>
        <v>Spatial Planning and Management Division</v>
      </c>
      <c r="S28" t="str">
        <f>IFERROR(VLOOKUP($I28,[1]DB2!$F$2:$I$58,4,0),"옛날 부서명 확인")</f>
        <v xml:space="preserve">Land and Environment Research Group </v>
      </c>
    </row>
    <row r="29">
      <c r="A29" t="str">
        <v>29</v>
      </c>
      <c r="B29" t="str">
        <v>연구개발적립금</v>
      </c>
      <c r="C29" t="str">
        <v>RR2024-17</v>
      </c>
      <c r="D29" t="str">
        <v>환경정책 데이터 서비스 허브 구축 및 운영</v>
      </c>
      <c r="F29" t="str">
        <v>10307</v>
      </c>
      <c r="G29" t="str">
        <v>진대용</v>
      </c>
      <c r="H29" t="str">
        <v>201902196</v>
      </c>
      <c r="I29" t="str">
        <v>AI데이터팀</v>
      </c>
      <c r="J29">
        <v>120000000</v>
      </c>
      <c r="K29" s="1" t="d">
        <v>2024-04-30T23:59:08.000Z</v>
      </c>
      <c r="L29" s="1" t="d">
        <v>2025-04-29T23:59:08.000Z</v>
      </c>
      <c r="N29" t="str">
        <v>Development and Operation of an Environmental Policy Data Service Hub</v>
      </c>
      <c r="O29" t="str">
        <f>IFERROR(VLOOKUP($G29,[1]DB2!$A:$B,2,0),"공동과책 확인")</f>
        <v>Jin, Daeyong</v>
      </c>
      <c r="P29" t="str">
        <v>AI and Environmental Informatics</v>
      </c>
      <c r="R29" t="str">
        <f>IFERROR(VLOOKUP($I29,[1]DB2!$F$2:$I$58,2,0),"옛날 부서명 확인")</f>
        <v xml:space="preserve">AI and Data Team </v>
      </c>
      <c r="S29" t="str">
        <f>IFERROR(VLOOKUP($I29,[1]DB2!$F$2:$I$58,4,0),"옛날 부서명 확인")</f>
        <v xml:space="preserve">Department of Planning and Strategy </v>
      </c>
    </row>
    <row r="30">
      <c r="A30" t="str">
        <v>30</v>
      </c>
      <c r="B30" t="str">
        <v>연구개발적립금</v>
      </c>
      <c r="C30" t="str">
        <v>RR2024-18</v>
      </c>
      <c r="D30" t="str">
        <v>글로벌 환경 지식협력 기반 구축 사업</v>
      </c>
      <c r="F30" t="str">
        <v>10217</v>
      </c>
      <c r="G30" t="str">
        <v>박준현</v>
      </c>
      <c r="H30" t="str">
        <v>201902198</v>
      </c>
      <c r="I30" t="str">
        <v>글로벌협력팀</v>
      </c>
      <c r="J30">
        <v>212762000</v>
      </c>
      <c r="K30" s="1" t="d">
        <v>2024-04-30T23:59:08.000Z</v>
      </c>
      <c r="L30" s="1" t="d">
        <v>2025-06-29T23:59:08.000Z</v>
      </c>
      <c r="N30" t="str">
        <v>Development of a Global Environmental Knowledge Cooperation Platform</v>
      </c>
      <c r="O30" t="str">
        <f>IFERROR(VLOOKUP($G30,[1]DB2!$A:$B,2,0),"공동과책 확인")</f>
        <v>Park, Jun Hyun</v>
      </c>
      <c r="P30" t="str">
        <v>International Environmental Collaboration</v>
      </c>
      <c r="R30" t="str">
        <f>IFERROR(VLOOKUP($I30,[1]DB2!$F$2:$I$58,2,0),"옛날 부서명 확인")</f>
        <v>Global Cooperation Team</v>
      </c>
      <c r="S30" t="str">
        <f>IFERROR(VLOOKUP($I30,[1]DB2!$F$2:$I$58,4,0),"옛날 부서명 확인")</f>
        <v xml:space="preserve">Department of Planning and Strategy </v>
      </c>
    </row>
    <row r="31">
      <c r="A31" t="str">
        <v>32</v>
      </c>
      <c r="B31" t="str">
        <v>수탁과제</v>
      </c>
      <c r="C31" t="str">
        <v>2024-062</v>
      </c>
      <c r="D31" t="str">
        <v>2023년 기준 환경보호지출계정 편제</v>
      </c>
      <c r="F31" t="str">
        <v>10139</v>
      </c>
      <c r="G31" t="str">
        <v>김종호</v>
      </c>
      <c r="H31" t="str">
        <v>201902200</v>
      </c>
      <c r="I31" t="str">
        <v>순환경제연구실</v>
      </c>
      <c r="J31">
        <v>136363630</v>
      </c>
      <c r="K31" s="1" t="d">
        <v>2024-05-02T23:59:08.000Z</v>
      </c>
      <c r="L31" s="1" t="d">
        <v>2025-03-30T23:59:08.000Z</v>
      </c>
      <c r="M31" t="str">
        <v>환경부 녹색기술개발과</v>
      </c>
      <c r="N31" t="str">
        <v>Compilation of Environmental Protection Expenditure Accounts for 2023</v>
      </c>
      <c r="O31" t="str">
        <f>IFERROR(VLOOKUP($G31,[1]DB2!$A:$B,2,0),"공동과책 확인")</f>
        <v>Kim, Jongho</v>
      </c>
      <c r="P31" t="str">
        <v>Environmental Economics</v>
      </c>
      <c r="Q31" t="str">
        <v>AI and Environmental Informatics</v>
      </c>
      <c r="R31" t="str">
        <f>IFERROR(VLOOKUP($I31,[1]DB2!$F$2:$I$58,2,0),"옛날 부서명 확인")</f>
        <v xml:space="preserve">Circular Economy Division </v>
      </c>
      <c r="S31" t="str">
        <f>IFERROR(VLOOKUP($I31,[1]DB2!$F$2:$I$58,4,0),"옛날 부서명 확인")</f>
        <v xml:space="preserve">Sustainable Development Research Group  </v>
      </c>
    </row>
    <row r="32">
      <c r="A32" t="str">
        <v>33</v>
      </c>
      <c r="B32" t="str">
        <v>수탁과제</v>
      </c>
      <c r="C32" t="str">
        <v>2024-068</v>
      </c>
      <c r="D32" t="str">
        <v>탄소중립 기술정보 종합 및 활용기반 구축 -에너지 부문(전환·산업·수송·건물)</v>
      </c>
      <c r="F32" t="str">
        <v>10327</v>
      </c>
      <c r="G32" t="str">
        <v>김성진</v>
      </c>
      <c r="H32" t="str">
        <v>201902197</v>
      </c>
      <c r="I32" t="str">
        <v>탄소중립연구실</v>
      </c>
      <c r="J32">
        <v>80181810</v>
      </c>
      <c r="K32" s="1" t="d">
        <v>2024-05-28T23:59:08.000Z</v>
      </c>
      <c r="L32" s="1" t="d">
        <v>2025-03-21T23:59:08.000Z</v>
      </c>
      <c r="M32" t="str">
        <v>환경부 온실가스종합정보센터</v>
      </c>
      <c r="N32" t="str">
        <v>Developing a Comprehensive Database and Utilization Framework for Carbon Neutrality Technologies in the Energy Sector (Transition, Industry, Transport, and Buildings)</v>
      </c>
      <c r="O32" t="str">
        <f>IFERROR(VLOOKUP($G32,[1]DB2!$A:$B,2,0),"공동과책 확인")</f>
        <v>Kim, Sungjin</v>
      </c>
      <c r="P32" t="str">
        <v>Carbon Neutrality and Energy</v>
      </c>
      <c r="Q32" t="str">
        <v>AI and Environmental Informatics</v>
      </c>
      <c r="R32" t="str">
        <f>IFERROR(VLOOKUP($I32,[1]DB2!$F$2:$I$58,2,0),"옛날 부서명 확인")</f>
        <v xml:space="preserve">Carbon Neutrality Division </v>
      </c>
      <c r="S32" t="str">
        <f>IFERROR(VLOOKUP($I32,[1]DB2!$F$2:$I$58,4,0),"옛날 부서명 확인")</f>
        <v xml:space="preserve">Climate and Atmospheric Strategy Research Group  </v>
      </c>
    </row>
    <row r="33">
      <c r="A33" t="str">
        <v>34</v>
      </c>
      <c r="B33" t="str">
        <v>수탁과제</v>
      </c>
      <c r="C33" t="str">
        <v>2024-071</v>
      </c>
      <c r="D33" t="str">
        <v>이차전지 산업폐수의 공공폐수처리시설 적정 처리방안 연구</v>
      </c>
      <c r="F33" t="str">
        <v>10189</v>
      </c>
      <c r="G33" t="str">
        <v>한대호</v>
      </c>
      <c r="H33" t="str">
        <v>201902190</v>
      </c>
      <c r="I33" t="str">
        <v>물관리연구실</v>
      </c>
      <c r="J33">
        <v>86418180</v>
      </c>
      <c r="K33" s="1" t="d">
        <v>2024-06-02T23:59:08.000Z</v>
      </c>
      <c r="L33" s="1" t="d">
        <v>2025-02-27T23:59:08.000Z</v>
      </c>
      <c r="M33" t="str">
        <v>한국환경공단</v>
      </c>
      <c r="N33" t="str">
        <v>Developing Appropriate Treatment Methods for Public Wastewater Facilities Handling Industrial Wastewater from Secondary Battery Production</v>
      </c>
      <c r="O33" t="str">
        <f>IFERROR(VLOOKUP($G33,[1]DB2!$A:$B,2,0),"공동과책 확인")</f>
        <v>Han, Daeho</v>
      </c>
      <c r="P33" t="str">
        <v>Water Management</v>
      </c>
      <c r="Q33" t="str">
        <v>Circular Economy</v>
      </c>
      <c r="R33" t="str">
        <f>IFERROR(VLOOKUP($I33,[1]DB2!$F$2:$I$58,2,0),"옛날 부서명 확인")</f>
        <v xml:space="preserve">Water Management Division </v>
      </c>
      <c r="S33" t="str">
        <f>IFERROR(VLOOKUP($I33,[1]DB2!$F$2:$I$58,4,0),"옛날 부서명 확인")</f>
        <v xml:space="preserve">Land and Environment Research Group </v>
      </c>
    </row>
    <row r="34">
      <c r="A34" t="str">
        <v>35</v>
      </c>
      <c r="B34" t="str">
        <v>수탁과제</v>
      </c>
      <c r="C34" t="str">
        <v>2024-072</v>
      </c>
      <c r="D34" t="str">
        <v>도시의 개발사업 등 관련 환경영향평가 개선방안 마련 연구</v>
      </c>
      <c r="F34" t="str">
        <v>10249</v>
      </c>
      <c r="G34" t="str">
        <v>이영재</v>
      </c>
      <c r="H34" t="str">
        <v>201902163</v>
      </c>
      <c r="I34" t="str">
        <v>국토전략평가실</v>
      </c>
      <c r="J34">
        <v>39750000</v>
      </c>
      <c r="K34" s="1" t="d">
        <v>2024-06-03T23:59:08.000Z</v>
      </c>
      <c r="L34" s="1" t="d">
        <v>2025-02-27T23:59:08.000Z</v>
      </c>
      <c r="M34" t="str">
        <v>환경부 국토환경정책과</v>
      </c>
      <c r="N34" t="str">
        <v>Developing Strategies to Improve Environmental Impact Assessments for Urban Development Projects</v>
      </c>
      <c r="O34" t="str">
        <f>IFERROR(VLOOKUP($G34,[1]DB2!$A:$B,2,0),"공동과책 확인")</f>
        <v>Yi, Youngjae</v>
      </c>
      <c r="P34" t="str">
        <v>Environmental Assessment</v>
      </c>
      <c r="Q34" t="str">
        <v>Land and Urban Environment</v>
      </c>
      <c r="R34" t="str">
        <f>IFERROR(VLOOKUP($I34,[1]DB2!$F$2:$I$58,2,0),"옛날 부서명 확인")</f>
        <v xml:space="preserve">Land Strategy Assessment Division </v>
      </c>
      <c r="S34" t="str">
        <f>IFERROR(VLOOKUP($I34,[1]DB2!$F$2:$I$58,4,0),"옛날 부서명 확인")</f>
        <v xml:space="preserve">Environmental Assessment Group </v>
      </c>
    </row>
    <row r="35">
      <c r="A35" t="str">
        <v>36</v>
      </c>
      <c r="B35" t="str">
        <v>수탁과제</v>
      </c>
      <c r="C35" t="str">
        <v>2024-074</v>
      </c>
      <c r="D35" t="str">
        <v>산업폐수관리 개선방안 마련 연구</v>
      </c>
      <c r="F35" t="str">
        <v>10189</v>
      </c>
      <c r="G35" t="str">
        <v>한대호</v>
      </c>
      <c r="H35" t="str">
        <v>201902190</v>
      </c>
      <c r="I35" t="str">
        <v>물관리연구실</v>
      </c>
      <c r="J35">
        <v>81818180</v>
      </c>
      <c r="K35" s="1" t="d">
        <v>2024-06-12T23:59:08.000Z</v>
      </c>
      <c r="L35" s="1" t="d">
        <v>2025-05-29T23:59:08.000Z</v>
      </c>
      <c r="M35" t="str">
        <v>환경부</v>
      </c>
      <c r="N35" t="str">
        <v>Developing Strategies to Improve Industrial Wastewater Management</v>
      </c>
      <c r="O35" t="str">
        <f>IFERROR(VLOOKUP($G35,[1]DB2!$A:$B,2,0),"공동과책 확인")</f>
        <v>Han, Daeho</v>
      </c>
      <c r="P35" t="str">
        <v>Water Management</v>
      </c>
      <c r="R35" t="str">
        <f>IFERROR(VLOOKUP($I35,[1]DB2!$F$2:$I$58,2,0),"옛날 부서명 확인")</f>
        <v xml:space="preserve">Water Management Division </v>
      </c>
      <c r="S35" t="str">
        <f>IFERROR(VLOOKUP($I35,[1]DB2!$F$2:$I$58,4,0),"옛날 부서명 확인")</f>
        <v xml:space="preserve">Land and Environment Research Group </v>
      </c>
    </row>
    <row r="36">
      <c r="A36" t="str">
        <v>37</v>
      </c>
      <c r="B36" t="str">
        <v>수탁과제</v>
      </c>
      <c r="C36" t="str">
        <v>2024-075</v>
      </c>
      <c r="D36" t="str">
        <v>2024년 녹색화학 협의체 운영 등 기반구축 사업</v>
      </c>
      <c r="F36" t="str">
        <v>10236</v>
      </c>
      <c r="G36" t="str">
        <v>서양원</v>
      </c>
      <c r="H36" t="str">
        <v>201902119</v>
      </c>
      <c r="I36" t="str">
        <v>지속가능발전연구본부</v>
      </c>
      <c r="J36">
        <v>150054000</v>
      </c>
      <c r="K36" s="1" t="d">
        <v>2024-06-12T23:59:08.000Z</v>
      </c>
      <c r="L36" s="1" t="d">
        <v>2025-03-30T23:59:08.000Z</v>
      </c>
      <c r="M36" t="str">
        <v>환경부 화학물질정책과</v>
      </c>
      <c r="N36" t="str">
        <v>2024 Capacity-Building and Related Activities for the Green Chemistry Council</v>
      </c>
      <c r="O36" t="str">
        <f>IFERROR(VLOOKUP($G36,[1]DB2!$A:$B,2,0),"공동과책 확인")</f>
        <v>Suh, Yang-won</v>
      </c>
      <c r="P36" t="str">
        <v>Environmental Health</v>
      </c>
      <c r="Q36" t="str">
        <v>Climate Adaptation</v>
      </c>
      <c r="R36" t="str">
        <f>IFERROR(VLOOKUP($I36,[1]DB2!$F$2:$I$58,2,0),"옛날 부서명 확인")</f>
        <v xml:space="preserve">Sustainable Development Research Group  </v>
      </c>
      <c r="S36" t="str">
        <f>IFERROR(VLOOKUP($I36,[1]DB2!$F$2:$I$58,4,0),"옛날 부서명 확인")</f>
        <v xml:space="preserve">Sustainable Development Research Group  </v>
      </c>
    </row>
    <row r="37">
      <c r="A37" t="str">
        <v>38</v>
      </c>
      <c r="B37" t="str">
        <v>수탁과제</v>
      </c>
      <c r="C37" t="str">
        <v>2024-080</v>
      </c>
      <c r="D37" t="str">
        <v>2025년도 전기차 차종별 보조금 지급체계 개편 연구</v>
      </c>
      <c r="F37" t="str">
        <v>10344</v>
      </c>
      <c r="G37" t="str">
        <v>이정은</v>
      </c>
      <c r="H37" t="str">
        <v>201902197</v>
      </c>
      <c r="I37" t="str">
        <v>탄소중립연구실</v>
      </c>
      <c r="J37">
        <v>59363430</v>
      </c>
      <c r="K37" s="1" t="d">
        <v>2024-07-14T23:59:08.000Z</v>
      </c>
      <c r="L37" s="1" t="d">
        <v>2025-03-13T23:59:08.000Z</v>
      </c>
      <c r="M37" t="str">
        <v>환경부 대기미래전략과</v>
      </c>
      <c r="N37" t="str">
        <v xml:space="preserve">Research on Reforming the 2025 Subsidy Scheme for Electric Vehicles </v>
      </c>
      <c r="O37" t="str">
        <f>IFERROR(VLOOKUP($G37,[1]DB2!$A:$B,2,0),"공동과책 확인")</f>
        <v>Lee, Jeongeun</v>
      </c>
      <c r="P37" t="str">
        <v>Carbon Neutrality and Energy</v>
      </c>
      <c r="Q37" t="str">
        <v>Environmental Economics</v>
      </c>
      <c r="R37" t="str">
        <f>IFERROR(VLOOKUP($I37,[1]DB2!$F$2:$I$58,2,0),"옛날 부서명 확인")</f>
        <v xml:space="preserve">Carbon Neutrality Division </v>
      </c>
      <c r="S37" t="str">
        <f>IFERROR(VLOOKUP($I37,[1]DB2!$F$2:$I$58,4,0),"옛날 부서명 확인")</f>
        <v xml:space="preserve">Climate and Atmospheric Strategy Research Group  </v>
      </c>
    </row>
    <row r="38">
      <c r="A38" t="str">
        <v>39</v>
      </c>
      <c r="B38" t="str">
        <v>수탁과제</v>
      </c>
      <c r="C38" t="str">
        <v>2024-081</v>
      </c>
      <c r="D38" t="str">
        <v>환경관리 고도화를 위한 환경정책 발전방안 연구</v>
      </c>
      <c r="F38" t="str">
        <v>10132</v>
      </c>
      <c r="G38" t="str">
        <v>박창석</v>
      </c>
      <c r="H38" t="str">
        <v>201902191</v>
      </c>
      <c r="I38" t="str">
        <v>임원실</v>
      </c>
      <c r="J38">
        <v>69280000</v>
      </c>
      <c r="K38" s="1" t="d">
        <v>2024-07-14T23:59:08.000Z</v>
      </c>
      <c r="L38" s="1" t="d">
        <v>2025-03-30T23:59:08.000Z</v>
      </c>
      <c r="M38" t="str">
        <v>환경부</v>
      </c>
      <c r="N38" t="str">
        <v>Advancing Environmental Policies for Enhanced Environmental Management</v>
      </c>
      <c r="O38" t="str">
        <f>IFERROR(VLOOKUP($G38,[1]DB2!$A:$B,2,0),"공동과책 확인")</f>
        <v>Park, Chang Sug</v>
      </c>
      <c r="P38" t="str">
        <v>Land and Urban Environment</v>
      </c>
      <c r="Q38" t="str">
        <v>Socio-Environmental Interface</v>
      </c>
      <c r="R38" t="str">
        <f>IFERROR(VLOOKUP($I38,[1]DB2!$F$2:$I$58,2,0),"옛날 부서명 확인")</f>
        <v>Executive Office</v>
      </c>
      <c r="S38" t="str">
        <f>IFERROR(VLOOKUP($I38,[1]DB2!$F$2:$I$58,4,0),"옛날 부서명 확인")</f>
        <v>Executive Office</v>
      </c>
    </row>
    <row r="39">
      <c r="A39" t="str">
        <v>41</v>
      </c>
      <c r="B39" t="str">
        <v>수탁과제</v>
      </c>
      <c r="C39" t="str">
        <v>2024-084</v>
      </c>
      <c r="D39" t="str">
        <v>소록도 자연가치 등의 보전ㆍ활용을 위한 마스터플랜 수립 연구</v>
      </c>
      <c r="F39" t="str">
        <v>10282</v>
      </c>
      <c r="G39" t="str">
        <v>손승우</v>
      </c>
      <c r="H39" t="str">
        <v>201902191</v>
      </c>
      <c r="I39" t="str">
        <v>국토관리연구실</v>
      </c>
      <c r="J39">
        <v>72270000</v>
      </c>
      <c r="K39" s="1" t="d">
        <v>2024-07-21T23:59:08.000Z</v>
      </c>
      <c r="L39" s="1" t="d">
        <v>2025-03-17T23:59:08.000Z</v>
      </c>
      <c r="M39" t="str">
        <v>환경부</v>
      </c>
      <c r="N39" t="str">
        <v>Developing a Master Plan for Conserving and Utilizing the Natural Value of Sorokdo</v>
      </c>
      <c r="O39" t="str">
        <f>IFERROR(VLOOKUP($G39,[1]DB2!$A:$B,2,0),"공동과책 확인")</f>
        <v>Son, Seungwoo</v>
      </c>
      <c r="P39" t="str">
        <v>Land and Urban Environment</v>
      </c>
      <c r="Q39" t="str">
        <v>Ecology</v>
      </c>
      <c r="R39" t="str">
        <f>IFERROR(VLOOKUP($I39,[1]DB2!$F$2:$I$58,2,0),"옛날 부서명 확인")</f>
        <v>Spatial Planning and Management Division</v>
      </c>
      <c r="S39" t="str">
        <f>IFERROR(VLOOKUP($I39,[1]DB2!$F$2:$I$58,4,0),"옛날 부서명 확인")</f>
        <v xml:space="preserve">Land and Environment Research Group </v>
      </c>
    </row>
    <row r="40">
      <c r="A40" t="str">
        <v>42</v>
      </c>
      <c r="B40" t="str">
        <v>수탁과제</v>
      </c>
      <c r="C40" t="str">
        <v>2024-086</v>
      </c>
      <c r="D40" t="str">
        <v>수자원위성 활용기술 개발(Ⅱ)(1차)</v>
      </c>
      <c r="F40" t="str">
        <v>10162</v>
      </c>
      <c r="G40" t="str">
        <v>이명진</v>
      </c>
      <c r="H40" t="str">
        <v>201902191</v>
      </c>
      <c r="I40" t="str">
        <v>국토관리연구실</v>
      </c>
      <c r="J40">
        <v>80589750</v>
      </c>
      <c r="K40" s="1" t="d">
        <v>2024-07-24T23:59:08.000Z</v>
      </c>
      <c r="L40" s="1" t="d">
        <v>2025-01-14T23:59:08.000Z</v>
      </c>
      <c r="M40" t="str">
        <v>K-water 연구원</v>
      </c>
      <c r="N40" t="str">
        <v>Developing Technologies for Satellite-based Water Resource Management (II) (Phase 1)</v>
      </c>
      <c r="O40" t="str">
        <f>IFERROR(VLOOKUP($G40,[1]DB2!$A:$B,2,0),"공동과책 확인")</f>
        <v>Lee, MoungJin</v>
      </c>
      <c r="P40" t="str">
        <v>Water Management</v>
      </c>
      <c r="Q40" t="str">
        <v>AI and Environmental Informatics</v>
      </c>
      <c r="R40" t="str">
        <f>IFERROR(VLOOKUP($I40,[1]DB2!$F$2:$I$58,2,0),"옛날 부서명 확인")</f>
        <v>Spatial Planning and Management Division</v>
      </c>
      <c r="S40" t="str">
        <f>IFERROR(VLOOKUP($I40,[1]DB2!$F$2:$I$58,4,0),"옛날 부서명 확인")</f>
        <v xml:space="preserve">Land and Environment Research Group </v>
      </c>
    </row>
    <row r="41">
      <c r="A41" t="str">
        <v>43</v>
      </c>
      <c r="B41" t="str">
        <v>수탁과제</v>
      </c>
      <c r="C41" t="str">
        <v>2024-087</v>
      </c>
      <c r="D41" t="str">
        <v>해수담수화 활성화를 위한 제도 및 정책방향 연구 용역(2차년도)</v>
      </c>
      <c r="F41" t="str">
        <v>10205</v>
      </c>
      <c r="G41" t="str">
        <v>강형식</v>
      </c>
      <c r="H41" t="str">
        <v>201902190</v>
      </c>
      <c r="I41" t="str">
        <v>국토환경연구본부</v>
      </c>
      <c r="J41">
        <v>87895342</v>
      </c>
      <c r="K41" s="1" t="d">
        <v>2024-07-25T23:59:08.000Z</v>
      </c>
      <c r="L41" s="1" t="d">
        <v>2025-01-20T23:59:08.000Z</v>
      </c>
      <c r="M41" t="str">
        <v>한국수자원공사</v>
      </c>
      <c r="N41" t="str">
        <v>Developing Institutional and Policy Guidelines to Support Seawater Desalination (Year 2)</v>
      </c>
      <c r="O41" t="str">
        <f>IFERROR(VLOOKUP($G41,[1]DB2!$A:$B,2,0),"공동과책 확인")</f>
        <v>Kang, Hyeongsik</v>
      </c>
      <c r="P41" t="str">
        <v>Water Management</v>
      </c>
      <c r="Q41" t="str">
        <v>Marine Environment</v>
      </c>
      <c r="R41" t="str">
        <f>IFERROR(VLOOKUP($I41,[1]DB2!$F$2:$I$58,2,0),"옛날 부서명 확인")</f>
        <v xml:space="preserve">Land and Environment Research Group </v>
      </c>
      <c r="S41" t="str">
        <f>IFERROR(VLOOKUP($I41,[1]DB2!$F$2:$I$58,4,0),"옛날 부서명 확인")</f>
        <v xml:space="preserve">Land and Environment Research Group </v>
      </c>
    </row>
    <row r="42">
      <c r="A42" t="str">
        <v>44</v>
      </c>
      <c r="B42" t="str">
        <v>수탁과제</v>
      </c>
      <c r="C42" t="str">
        <v>2024-085</v>
      </c>
      <c r="D42" t="str">
        <v>세계 생물다양성 프레임워크 이행을 위한 유전자 다양성 국가지표(안) 마련(1차년도)</v>
      </c>
      <c r="F42" t="str">
        <v>10300</v>
      </c>
      <c r="G42" t="str">
        <v>구경아</v>
      </c>
      <c r="H42" t="str">
        <v>201902192</v>
      </c>
      <c r="I42" t="str">
        <v>자연환경연구실</v>
      </c>
      <c r="J42">
        <v>68100000</v>
      </c>
      <c r="K42" s="1" t="d">
        <v>2024-07-28T23:59:08.000Z</v>
      </c>
      <c r="L42" s="1" t="d">
        <v>2025-03-27T23:59:08.000Z</v>
      </c>
      <c r="M42" t="str">
        <v>국립생물자원관</v>
      </c>
      <c r="N42" t="str">
        <v>Developing National Genetic Diversity Indicators to Support Implementation of the Global Biodiversity Framework (Year 1)</v>
      </c>
      <c r="O42" t="str">
        <f>IFERROR(VLOOKUP($G42,[1]DB2!$A:$B,2,0),"공동과책 확인")</f>
        <v xml:space="preserve">Koo, Kyung Ah </v>
      </c>
      <c r="P42" t="str">
        <v>Ecology</v>
      </c>
      <c r="Q42" t="str">
        <v>International Environmental Collaboration</v>
      </c>
      <c r="R42" t="str">
        <f>IFERROR(VLOOKUP($I42,[1]DB2!$F$2:$I$58,2,0),"옛날 부서명 확인")</f>
        <v xml:space="preserve">Natural Environment Division </v>
      </c>
      <c r="S42" t="str">
        <f>IFERROR(VLOOKUP($I42,[1]DB2!$F$2:$I$58,4,0),"옛날 부서명 확인")</f>
        <v xml:space="preserve">Land and Environment Research Group </v>
      </c>
    </row>
    <row r="43">
      <c r="A43" t="str">
        <v>45</v>
      </c>
      <c r="B43" t="str">
        <v>수탁과제</v>
      </c>
      <c r="C43" t="str">
        <v>2024-088</v>
      </c>
      <c r="D43" t="str">
        <v>SDGs 이행 제고를 위한 환경분야 전략수립 연구</v>
      </c>
      <c r="F43" t="str">
        <v>10292</v>
      </c>
      <c r="G43" t="str">
        <v>김현노</v>
      </c>
      <c r="H43" t="str">
        <v>201902200</v>
      </c>
      <c r="I43" t="str">
        <v>녹색경제연구실</v>
      </c>
      <c r="J43">
        <v>91241000</v>
      </c>
      <c r="K43" s="1" t="d">
        <v>2024-08-04T23:59:08.000Z</v>
      </c>
      <c r="L43" s="1" t="d">
        <v>2025-08-03T23:59:08.000Z</v>
      </c>
      <c r="M43" t="str">
        <v>환경부</v>
      </c>
      <c r="N43" t="str">
        <v>Developing Environmental Strategies to Enhance Implementation of the SDGs</v>
      </c>
      <c r="O43" t="str">
        <f>IFERROR(VLOOKUP($G43,[1]DB2!$A:$B,2,0),"공동과책 확인")</f>
        <v>Kim, Hyunno</v>
      </c>
      <c r="P43" t="str">
        <v>Environmental Economics</v>
      </c>
      <c r="Q43" t="str">
        <v>Socio-Environmental Interface</v>
      </c>
      <c r="R43" t="str">
        <f>IFERROR(VLOOKUP($I43,[1]DB2!$F$2:$I$58,2,0),"옛날 부서명 확인")</f>
        <v xml:space="preserve">Green Economy Division </v>
      </c>
      <c r="S43" t="str">
        <f>IFERROR(VLOOKUP($I43,[1]DB2!$F$2:$I$58,4,0),"옛날 부서명 확인")</f>
        <v xml:space="preserve">Climate and Atmospheric Strategy Research Group  </v>
      </c>
    </row>
    <row r="44">
      <c r="A44" t="str">
        <v>46</v>
      </c>
      <c r="B44" t="str">
        <v>수탁과제</v>
      </c>
      <c r="C44" t="str">
        <v>2024-099(R)</v>
      </c>
      <c r="D44" t="str">
        <v>2차 미세플라스틱 환경오염 문제해결을 위한 융합솔루션 개발(5차년도)</v>
      </c>
      <c r="F44" t="str">
        <v>10065</v>
      </c>
      <c r="G44" t="str">
        <v>박정규</v>
      </c>
      <c r="H44" t="str">
        <v>201902119</v>
      </c>
      <c r="I44" t="str">
        <v>환경보건연구실</v>
      </c>
      <c r="J44">
        <v>30000000</v>
      </c>
      <c r="K44" s="1" t="d">
        <v>2024-08-09T23:59:08.000Z</v>
      </c>
      <c r="L44" s="1" t="d">
        <v>2025-08-08T23:59:08.000Z</v>
      </c>
      <c r="M44" t="str">
        <v>안전성평가연구소</v>
      </c>
      <c r="N44" t="str">
        <v>Research on Convergent Approaches to Mitigate Secondary Microplastic Pollution (Year 5)</v>
      </c>
      <c r="O44" t="str">
        <f>IFERROR(VLOOKUP($G44,[1]DB2!$A:$B,2,0),"공동과책 확인")</f>
        <v>Park, Jeonggue</v>
      </c>
      <c r="P44" t="str">
        <v>Environmental Health</v>
      </c>
      <c r="Q44" t="str">
        <v>Marine Environment</v>
      </c>
      <c r="R44" t="str">
        <f>IFERROR(VLOOKUP($I44,[1]DB2!$F$2:$I$58,2,0),"옛날 부서명 확인")</f>
        <v xml:space="preserve">Environmental Health Division </v>
      </c>
      <c r="S44" t="str">
        <f>IFERROR(VLOOKUP($I44,[1]DB2!$F$2:$I$58,4,0),"옛날 부서명 확인")</f>
        <v xml:space="preserve">Sustainable Development Research Group  </v>
      </c>
    </row>
    <row r="45">
      <c r="A45" t="str">
        <v>47</v>
      </c>
      <c r="B45" t="str">
        <v>수탁과제</v>
      </c>
      <c r="C45" t="str">
        <v>2024-089</v>
      </c>
      <c r="D45" t="str">
        <v>생물다양성협약 쿤밍-몬트리올 GBF 이행동향 분석 및 대응 방안 연구(II)</v>
      </c>
      <c r="F45" t="str">
        <v>10300</v>
      </c>
      <c r="G45" t="str">
        <v>구경아</v>
      </c>
      <c r="H45" t="str">
        <v>201902192</v>
      </c>
      <c r="I45" t="str">
        <v>자연환경연구실</v>
      </c>
      <c r="J45">
        <v>69500000</v>
      </c>
      <c r="K45" s="1" t="d">
        <v>2024-08-11T23:59:08.000Z</v>
      </c>
      <c r="L45" s="1" t="d">
        <v>2025-04-06T23:59:08.000Z</v>
      </c>
      <c r="M45" t="str">
        <v>환경부</v>
      </c>
      <c r="N45" t="str">
        <v>Trends in the Implementation of the CBD Kunming-Montreal Global Biodiversity Framework and the Development of Response Strategies (Phase 2)</v>
      </c>
      <c r="O45" t="str">
        <f>IFERROR(VLOOKUP($G45,[1]DB2!$A:$B,2,0),"공동과책 확인")</f>
        <v xml:space="preserve">Koo, Kyung Ah </v>
      </c>
      <c r="P45" t="str">
        <v>Ecology</v>
      </c>
      <c r="Q45" t="str">
        <v>International Environmental Collaboration</v>
      </c>
      <c r="R45" t="str">
        <f>IFERROR(VLOOKUP($I45,[1]DB2!$F$2:$I$58,2,0),"옛날 부서명 확인")</f>
        <v xml:space="preserve">Natural Environment Division </v>
      </c>
      <c r="S45" t="str">
        <f>IFERROR(VLOOKUP($I45,[1]DB2!$F$2:$I$58,4,0),"옛날 부서명 확인")</f>
        <v xml:space="preserve">Land and Environment Research Group </v>
      </c>
    </row>
    <row r="46">
      <c r="A46" t="str">
        <v>48</v>
      </c>
      <c r="B46" t="str">
        <v>수탁과제</v>
      </c>
      <c r="C46" t="str">
        <v>2024-090</v>
      </c>
      <c r="D46" t="str">
        <v>배출허용기준 관리 개선방안 마련 연구</v>
      </c>
      <c r="F46" t="str">
        <v>50021</v>
      </c>
      <c r="G46" t="str">
        <v>공성용</v>
      </c>
      <c r="H46" t="str">
        <v>201902187</v>
      </c>
      <c r="I46" t="str">
        <v>대기환경연구실</v>
      </c>
      <c r="J46">
        <v>78400000</v>
      </c>
      <c r="K46" s="1" t="d">
        <v>2024-08-22T23:59:08.000Z</v>
      </c>
      <c r="L46" s="1" t="d">
        <v>2025-01-21T23:59:08.000Z</v>
      </c>
      <c r="M46" t="str">
        <v>국립환경과학원</v>
      </c>
      <c r="N46" t="str">
        <v>Developing Strategies to Improve Emission Standard Management</v>
      </c>
      <c r="O46" t="str">
        <f>IFERROR(VLOOKUP($G46,[1]DB2!$A:$B,2,0),"공동과책 확인")</f>
        <v>Gong, Sungyong</v>
      </c>
      <c r="P46" t="str">
        <v>Atmospheric Environment</v>
      </c>
      <c r="R46" t="str">
        <f>IFERROR(VLOOKUP($I46,[1]DB2!$F$2:$I$58,2,0),"옛날 부서명 확인")</f>
        <v>Atmospheric Environment Division</v>
      </c>
      <c r="S46" t="str">
        <f>IFERROR(VLOOKUP($I46,[1]DB2!$F$2:$I$58,4,0),"옛날 부서명 확인")</f>
        <v xml:space="preserve">Climate and Atmospheric Strategy Research Group  </v>
      </c>
    </row>
    <row r="47">
      <c r="A47" t="str">
        <v>53</v>
      </c>
      <c r="B47" t="str">
        <v>수탁과제</v>
      </c>
      <c r="C47" t="str">
        <v>2024-091</v>
      </c>
      <c r="D47" t="str">
        <v xml:space="preserve">제2차 물 재이용 기본계획 타당성 검토 및 변경 수립 연구 </v>
      </c>
      <c r="F47" t="str">
        <v>10318</v>
      </c>
      <c r="G47" t="str">
        <v>이문환</v>
      </c>
      <c r="H47" t="str">
        <v>202508190</v>
      </c>
      <c r="I47" t="str">
        <v>물관리연구실</v>
      </c>
      <c r="J47">
        <v>302181810</v>
      </c>
      <c r="K47" s="1" t="d">
        <v>2024-09-02T23:59:08.000Z</v>
      </c>
      <c r="L47" s="1" t="d">
        <v>2025-11-26T23:59:08.000Z</v>
      </c>
      <c r="M47" t="str">
        <v>환경부</v>
      </c>
      <c r="N47" t="str">
        <v>Feasibility Review and Preparation of Draft Amendments for the Second Water Reuse Master Plan</v>
      </c>
      <c r="O47" t="str">
        <f>IFERROR(VLOOKUP($G47,[1]DB2!$A:$B,2,0),"공동과책 확인")</f>
        <v>Lee, Moonhwan</v>
      </c>
      <c r="P47" t="str">
        <v>Water Management</v>
      </c>
      <c r="R47" t="str">
        <f>IFERROR(VLOOKUP($I47,[1]DB2!$F$2:$I$58,2,0),"옛날 부서명 확인")</f>
        <v xml:space="preserve">Water Management Division </v>
      </c>
      <c r="S47" t="str">
        <f>IFERROR(VLOOKUP($I47,[1]DB2!$F$2:$I$58,4,0),"옛날 부서명 확인")</f>
        <v xml:space="preserve">Land and Environment Research Group </v>
      </c>
    </row>
    <row r="48">
      <c r="A48" t="str">
        <v>54</v>
      </c>
      <c r="B48" t="str">
        <v>수탁과제</v>
      </c>
      <c r="C48" t="str">
        <v>2024-093</v>
      </c>
      <c r="D48" t="str">
        <v>제5차 국가환경종합계획(2020-2040) 수정계획 수립 연구(I)</v>
      </c>
      <c r="F48" t="str">
        <v>10132</v>
      </c>
      <c r="G48" t="str">
        <v>박창석</v>
      </c>
      <c r="H48" t="str">
        <v>201902191</v>
      </c>
      <c r="I48" t="str">
        <v>임원실</v>
      </c>
      <c r="J48">
        <v>151263000</v>
      </c>
      <c r="K48" s="1" t="d">
        <v>2024-09-19T23:59:08.000Z</v>
      </c>
      <c r="L48" s="1" t="d">
        <v>2025-03-17T23:59:08.000Z</v>
      </c>
      <c r="M48" t="str">
        <v>환경부</v>
      </c>
      <c r="N48" t="str">
        <v>Developing a Revision Plan for the 5th Comprehensive National Environmental Plan (2020–2040) (Phase 1)</v>
      </c>
      <c r="O48" t="str">
        <f>IFERROR(VLOOKUP($G48,[1]DB2!$A:$B,2,0),"공동과책 확인")</f>
        <v>Park, Chang Sug</v>
      </c>
      <c r="P48" t="str">
        <v>Land and Urban Environment</v>
      </c>
      <c r="R48" t="str">
        <f>IFERROR(VLOOKUP($I48,[1]DB2!$F$2:$I$58,2,0),"옛날 부서명 확인")</f>
        <v>Executive Office</v>
      </c>
      <c r="S48" t="str">
        <f>IFERROR(VLOOKUP($I48,[1]DB2!$F$2:$I$58,4,0),"옛날 부서명 확인")</f>
        <v>Executive Office</v>
      </c>
    </row>
    <row r="49">
      <c r="A49" t="str">
        <v>55</v>
      </c>
      <c r="B49" t="str">
        <v>수탁과제</v>
      </c>
      <c r="C49" t="str">
        <v>2024-094</v>
      </c>
      <c r="D49" t="str">
        <v>탄소중립을 위한 개발사업의 탄소총량제 도입방안 연구</v>
      </c>
      <c r="F49" t="str">
        <v>10084</v>
      </c>
      <c r="G49" t="str">
        <v>윤정호,손승우</v>
      </c>
      <c r="H49" t="str">
        <v>202508205</v>
      </c>
      <c r="I49" t="str">
        <v>국토관리연구실</v>
      </c>
      <c r="J49">
        <v>99000000</v>
      </c>
      <c r="K49" s="1" t="d">
        <v>2024-09-22T23:59:08.000Z</v>
      </c>
      <c r="L49" s="1" t="d">
        <v>2025-08-21T23:59:08.000Z</v>
      </c>
      <c r="M49" t="str">
        <v>재단법인 경기연구원</v>
      </c>
      <c r="N49" t="str">
        <v>Implementing a Carbon Cap System in Development Projects for Carbon Neutrality</v>
      </c>
      <c r="O49" t="str">
        <v>Yoon, Jeongho and Son, Seungwoo</v>
      </c>
      <c r="P49" t="str">
        <v>Carbon Neutrality and Energy</v>
      </c>
      <c r="Q49" t="str">
        <v>Environmental Economics</v>
      </c>
      <c r="R49" t="str">
        <f>IFERROR(VLOOKUP($I49,[1]DB2!$F$2:$I$58,2,0),"옛날 부서명 확인")</f>
        <v>Spatial Planning and Management Division</v>
      </c>
      <c r="S49" t="str">
        <f>IFERROR(VLOOKUP($I49,[1]DB2!$F$2:$I$58,4,0),"옛날 부서명 확인")</f>
        <v xml:space="preserve">Land and Environment Research Group </v>
      </c>
    </row>
    <row r="50">
      <c r="A50" t="str">
        <v>56</v>
      </c>
      <c r="B50" t="str">
        <v>수탁과제</v>
      </c>
      <c r="C50" t="str">
        <v>2024-096</v>
      </c>
      <c r="D50" t="str">
        <v>제1차 국가물관리기본계획 타당성 검토 및 변경계획안 마련 연구(I)</v>
      </c>
      <c r="F50" t="str">
        <v>10203</v>
      </c>
      <c r="G50" t="str">
        <v>한혜진</v>
      </c>
      <c r="H50" t="str">
        <v>202508190</v>
      </c>
      <c r="I50" t="str">
        <v>물관리연구실</v>
      </c>
      <c r="J50">
        <v>171000000</v>
      </c>
      <c r="K50" s="1" t="d">
        <v>2024-10-17T23:59:08.000Z</v>
      </c>
      <c r="L50" s="1" t="d">
        <v>2025-10-16T23:59:08.000Z</v>
      </c>
      <c r="M50" t="str">
        <v>환경부</v>
      </c>
      <c r="N50" t="str">
        <v>Feasibility Review and Preparation of Draft Amendments for the First Master Plan for National Water Management (Phase 1)</v>
      </c>
      <c r="O50" t="str">
        <f>IFERROR(VLOOKUP($G50,[1]DB2!$A:$B,2,0),"공동과책 확인")</f>
        <v>Han, Haejin</v>
      </c>
      <c r="P50" t="str">
        <v>Water Management</v>
      </c>
      <c r="R50" t="str">
        <f>IFERROR(VLOOKUP($I50,[1]DB2!$F$2:$I$58,2,0),"옛날 부서명 확인")</f>
        <v xml:space="preserve">Water Management Division </v>
      </c>
      <c r="S50" t="str">
        <f>IFERROR(VLOOKUP($I50,[1]DB2!$F$2:$I$58,4,0),"옛날 부서명 확인")</f>
        <v xml:space="preserve">Land and Environment Research Group </v>
      </c>
    </row>
    <row r="51">
      <c r="A51" t="str">
        <v>58</v>
      </c>
      <c r="B51" t="str">
        <v>수탁과제</v>
      </c>
      <c r="C51" t="str">
        <v>2024-097</v>
      </c>
      <c r="D51" t="str">
        <v>제3차 국가 물환경관리기본계획 수립</v>
      </c>
      <c r="F51" t="str">
        <v>10214</v>
      </c>
      <c r="G51" t="str">
        <v>김호정</v>
      </c>
      <c r="H51" t="str">
        <v>202508190</v>
      </c>
      <c r="I51" t="str">
        <v>물관리연구실</v>
      </c>
      <c r="J51">
        <v>180000000</v>
      </c>
      <c r="K51" s="1" t="d">
        <v>2024-10-21T23:59:08.000Z</v>
      </c>
      <c r="L51" s="1" t="d">
        <v>2025-12-16T23:59:08.000Z</v>
      </c>
      <c r="M51" t="str">
        <v>환경부 물환경정책과</v>
      </c>
      <c r="N51" t="str">
        <v>Developing the Third Master Plan for National Water Environment Management</v>
      </c>
      <c r="O51" t="str">
        <f>IFERROR(VLOOKUP($G51,[1]DB2!$A:$B,2,0),"공동과책 확인")</f>
        <v>Kim, Hojeong</v>
      </c>
      <c r="P51" t="str">
        <v>Water Management</v>
      </c>
      <c r="Q51" t="str">
        <v>Ecology</v>
      </c>
      <c r="R51" t="str">
        <f>IFERROR(VLOOKUP($I51,[1]DB2!$F$2:$I$58,2,0),"옛날 부서명 확인")</f>
        <v xml:space="preserve">Water Management Division </v>
      </c>
      <c r="S51" t="str">
        <f>IFERROR(VLOOKUP($I51,[1]DB2!$F$2:$I$58,4,0),"옛날 부서명 확인")</f>
        <v xml:space="preserve">Land and Environment Research Group </v>
      </c>
    </row>
    <row r="52">
      <c r="A52" t="str">
        <v>59</v>
      </c>
      <c r="B52" t="str">
        <v>수탁과제</v>
      </c>
      <c r="C52" t="str">
        <v>2024-098</v>
      </c>
      <c r="D52" t="str">
        <v>실내환경관리센터 발전방안 마련 연구</v>
      </c>
      <c r="F52" t="str">
        <v>10297</v>
      </c>
      <c r="G52" t="str">
        <v>정다운</v>
      </c>
      <c r="H52" t="str">
        <v>201902119</v>
      </c>
      <c r="I52" t="str">
        <v>환경보건연구실</v>
      </c>
      <c r="J52">
        <v>45200000</v>
      </c>
      <c r="K52" s="1" t="d">
        <v>2024-10-24T23:59:08.000Z</v>
      </c>
      <c r="L52" s="1" t="d">
        <v>2025-03-22T23:59:08.000Z</v>
      </c>
      <c r="M52" t="str">
        <v>환경부 생활환경과</v>
      </c>
      <c r="N52" t="str">
        <v>Strategic Roadmap for the Advancement of Indoor Environment Management Center</v>
      </c>
      <c r="O52" t="str">
        <f>IFERROR(VLOOKUP($G52,[1]DB2!$A:$B,2,0),"공동과책 확인")</f>
        <v xml:space="preserve">Jung, Dawoon </v>
      </c>
      <c r="P52" t="str">
        <v>Environmental Health</v>
      </c>
      <c r="R52" t="str">
        <f>IFERROR(VLOOKUP($I52,[1]DB2!$F$2:$I$58,2,0),"옛날 부서명 확인")</f>
        <v xml:space="preserve">Environmental Health Division </v>
      </c>
      <c r="S52" t="str">
        <f>IFERROR(VLOOKUP($I52,[1]DB2!$F$2:$I$58,4,0),"옛날 부서명 확인")</f>
        <v xml:space="preserve">Sustainable Development Research Group  </v>
      </c>
    </row>
    <row r="53">
      <c r="A53" t="str">
        <v>60</v>
      </c>
      <c r="B53" t="str">
        <v>수시과제</v>
      </c>
      <c r="C53" t="str">
        <v>WO2024-08</v>
      </c>
      <c r="D53" t="str">
        <v>폐의류의 국내 재활용 체계 구축 방안 연구</v>
      </c>
      <c r="F53" t="str">
        <v>10313</v>
      </c>
      <c r="G53" t="str">
        <v>주문솔</v>
      </c>
      <c r="H53" t="str">
        <v>201902118</v>
      </c>
      <c r="I53" t="str">
        <v>순환경제연구실</v>
      </c>
      <c r="J53">
        <v>15000000</v>
      </c>
      <c r="K53" s="1" t="d">
        <v>2024-10-31T23:59:08.000Z</v>
      </c>
      <c r="L53" s="1" t="d">
        <v>2025-04-29T23:59:08.000Z</v>
      </c>
      <c r="N53" t="str">
        <v>Establishing a Clothing Waste Recycling System in Korea</v>
      </c>
      <c r="O53" t="str">
        <f>IFERROR(VLOOKUP($G53,[1]DB2!$A:$B,2,0),"공동과책 확인")</f>
        <v xml:space="preserve">Ju, Munsol </v>
      </c>
      <c r="P53" t="str">
        <v>Circular Economy</v>
      </c>
      <c r="Q53" t="str">
        <v>Socio-Environmental Interface</v>
      </c>
      <c r="R53" t="str">
        <f>IFERROR(VLOOKUP($I53,[1]DB2!$F$2:$I$58,2,0),"옛날 부서명 확인")</f>
        <v xml:space="preserve">Circular Economy Division </v>
      </c>
      <c r="S53" t="str">
        <f>IFERROR(VLOOKUP($I53,[1]DB2!$F$2:$I$58,4,0),"옛날 부서명 확인")</f>
        <v xml:space="preserve">Sustainable Development Research Group  </v>
      </c>
    </row>
    <row r="54">
      <c r="A54" t="str">
        <v>61</v>
      </c>
      <c r="B54" t="str">
        <v>수시과제</v>
      </c>
      <c r="C54" t="str">
        <v>WO2024-09</v>
      </c>
      <c r="D54" t="str">
        <v>사용 단계의 물 수요관리 강화 방안: 물 다소비시설을 중심으로</v>
      </c>
      <c r="F54" t="str">
        <v>10357</v>
      </c>
      <c r="G54" t="str">
        <v>오명진</v>
      </c>
      <c r="H54" t="str">
        <v>201902190</v>
      </c>
      <c r="I54" t="str">
        <v>물관리연구실</v>
      </c>
      <c r="J54">
        <v>15000000</v>
      </c>
      <c r="K54" s="1" t="d">
        <v>2024-10-31T23:59:08.000Z</v>
      </c>
      <c r="L54" s="1" t="d">
        <v>2025-04-29T23:59:08.000Z</v>
      </c>
      <c r="N54" t="str">
        <v>Strengthening Water Demand Management at the Usage Phase: Focusing on High Water-Consumption Facilities</v>
      </c>
      <c r="O54" t="str">
        <f>IFERROR(VLOOKUP($G54,[1]DB2!$A:$B,2,0),"공동과책 확인")</f>
        <v xml:space="preserve">Oh, Myoungjin </v>
      </c>
      <c r="P54" t="str">
        <v>Water Management</v>
      </c>
      <c r="R54" t="str">
        <f>IFERROR(VLOOKUP($I54,[1]DB2!$F$2:$I$58,2,0),"옛날 부서명 확인")</f>
        <v xml:space="preserve">Water Management Division </v>
      </c>
      <c r="S54" t="str">
        <f>IFERROR(VLOOKUP($I54,[1]DB2!$F$2:$I$58,4,0),"옛날 부서명 확인")</f>
        <v xml:space="preserve">Land and Environment Research Group </v>
      </c>
    </row>
    <row r="55">
      <c r="A55" t="str">
        <v>62</v>
      </c>
      <c r="B55" t="str">
        <v>수탁과제</v>
      </c>
      <c r="C55" t="str">
        <v>2024-101</v>
      </c>
      <c r="D55" t="str">
        <v>석탄화력발전소 주변지역 환경보건평가-종합평가</v>
      </c>
      <c r="F55" t="str">
        <v>10211</v>
      </c>
      <c r="G55" t="str">
        <v>배현주</v>
      </c>
      <c r="H55" t="str">
        <v>202508119</v>
      </c>
      <c r="I55" t="str">
        <v>환경보건연구실</v>
      </c>
      <c r="J55">
        <v>98000000</v>
      </c>
      <c r="K55" s="1" t="d">
        <v>2024-11-03T23:59:08.000Z</v>
      </c>
      <c r="L55" s="1" t="d">
        <v>2025-11-03T23:59:08.000Z</v>
      </c>
      <c r="M55" t="str">
        <v>국립환경과학원</v>
      </c>
      <c r="N55" t="str">
        <v>Comprehensive Environmental Health Assessment of Regions Around Coal-Fired Power Plants</v>
      </c>
      <c r="O55" t="str">
        <f>IFERROR(VLOOKUP($G55,[1]DB2!$A:$B,2,0),"공동과책 확인")</f>
        <v>Bae, Hyun-Joo</v>
      </c>
      <c r="P55" t="str">
        <v>Environmental Health</v>
      </c>
      <c r="Q55" t="str">
        <v>Atmospheric Environment</v>
      </c>
      <c r="R55" t="str">
        <f>IFERROR(VLOOKUP($I55,[1]DB2!$F$2:$I$58,2,0),"옛날 부서명 확인")</f>
        <v xml:space="preserve">Environmental Health Division </v>
      </c>
      <c r="S55" t="str">
        <f>IFERROR(VLOOKUP($I55,[1]DB2!$F$2:$I$58,4,0),"옛날 부서명 확인")</f>
        <v xml:space="preserve">Sustainable Development Research Group  </v>
      </c>
    </row>
    <row r="56">
      <c r="A56" t="str">
        <v>63</v>
      </c>
      <c r="B56" t="str">
        <v>수탁과제</v>
      </c>
      <c r="C56" t="str">
        <v>2024-100</v>
      </c>
      <c r="D56" t="str">
        <v>생태계서비스 활성화 촉진을 위한 구역(지역)화 추진방안 마련 연구</v>
      </c>
      <c r="F56" t="str">
        <v>10186</v>
      </c>
      <c r="G56" t="str">
        <v>최희선</v>
      </c>
      <c r="H56" t="str">
        <v>202508205</v>
      </c>
      <c r="I56" t="str">
        <v>국토관리연구실</v>
      </c>
      <c r="J56">
        <v>99000000</v>
      </c>
      <c r="K56" s="1" t="d">
        <v>2024-11-04T23:59:08.000Z</v>
      </c>
      <c r="L56" s="1" t="d">
        <v>2025-08-28T23:59:08.000Z</v>
      </c>
      <c r="M56" t="str">
        <v>환경부</v>
      </c>
      <c r="N56" t="str">
        <v>Developing Strategies to Implement Zoning for Enhancing Ecosystem Services</v>
      </c>
      <c r="O56" t="str">
        <f>IFERROR(VLOOKUP($G56,[1]DB2!$A:$B,2,0),"공동과책 확인")</f>
        <v>Choi, Hee-Sun</v>
      </c>
      <c r="P56" t="str">
        <v>Land and Urban Environment</v>
      </c>
      <c r="Q56" t="str">
        <v>Ecology</v>
      </c>
      <c r="R56" t="str">
        <f>IFERROR(VLOOKUP($I56,[1]DB2!$F$2:$I$58,2,0),"옛날 부서명 확인")</f>
        <v>Spatial Planning and Management Division</v>
      </c>
      <c r="S56" t="str">
        <f>IFERROR(VLOOKUP($I56,[1]DB2!$F$2:$I$58,4,0),"옛날 부서명 확인")</f>
        <v xml:space="preserve">Land and Environment Research Group </v>
      </c>
    </row>
    <row r="57">
      <c r="A57" t="str">
        <v>64</v>
      </c>
      <c r="B57" t="str">
        <v>수탁과제</v>
      </c>
      <c r="C57" t="str">
        <v>2024-102</v>
      </c>
      <c r="D57" t="str">
        <v>차등화된 환경영향평가체계 마련 연구(1차)</v>
      </c>
      <c r="F57" t="str">
        <v>10290</v>
      </c>
      <c r="G57" t="str">
        <v>양경</v>
      </c>
      <c r="H57" t="str">
        <v>201902165</v>
      </c>
      <c r="I57" t="str">
        <v>기후에너지평가실</v>
      </c>
      <c r="J57">
        <v>20000000</v>
      </c>
      <c r="K57" s="1" t="d">
        <v>2024-11-12T23:59:08.000Z</v>
      </c>
      <c r="L57" s="1" t="d">
        <v>2025-02-09T23:59:08.000Z</v>
      </c>
      <c r="M57" t="str">
        <v>환경부</v>
      </c>
      <c r="N57" t="str">
        <v>Developing a Tiered Environmental Impact Assessment System (Phase 1)</v>
      </c>
      <c r="O57" t="str">
        <f>IFERROR(VLOOKUP($G57,[1]DB2!$A:$B,2,0),"공동과책 확인")</f>
        <v xml:space="preserve">Yang, Kyung </v>
      </c>
      <c r="P57" t="str">
        <v>Environmental Assessment</v>
      </c>
      <c r="R57" t="str">
        <f>IFERROR(VLOOKUP($I57,[1]DB2!$F$2:$I$58,2,0),"옛날 부서명 확인")</f>
        <v xml:space="preserve">Climate and Energy Assessment Division </v>
      </c>
      <c r="S57" t="str">
        <f>IFERROR(VLOOKUP($I57,[1]DB2!$F$2:$I$58,4,0),"옛날 부서명 확인")</f>
        <v xml:space="preserve">Environmental Assessment Group </v>
      </c>
    </row>
    <row r="58">
      <c r="A58" t="str">
        <v>65</v>
      </c>
      <c r="B58" t="str">
        <v>수탁과제</v>
      </c>
      <c r="C58" t="str">
        <v>2024-103</v>
      </c>
      <c r="D58" t="str">
        <v>유독물질 지정관리체계 개편을 위한 취급시설 기준 및 규정수량 규제영향분석 연구</v>
      </c>
      <c r="F58" t="str">
        <v>10191</v>
      </c>
      <c r="G58" t="str">
        <v>신상철</v>
      </c>
      <c r="H58" t="str">
        <v>202508204</v>
      </c>
      <c r="I58" t="str">
        <v>순환경제연구실</v>
      </c>
      <c r="J58">
        <v>175454540</v>
      </c>
      <c r="K58" s="1" t="d">
        <v>2024-11-21T23:59:08.000Z</v>
      </c>
      <c r="L58" s="1" t="d">
        <v>2025-10-30T23:59:08.000Z</v>
      </c>
      <c r="M58" t="str">
        <v>화학물질안전원</v>
      </c>
      <c r="N58" t="str">
        <v>A Study on the Regulatory Impact of Hazardous Chemical Substances</v>
      </c>
      <c r="O58" t="str">
        <f>IFERROR(VLOOKUP($G58,[1]DB2!$A:$B,2,0),"공동과책 확인")</f>
        <v>Shin, Sang-Cheol</v>
      </c>
      <c r="P58" t="str">
        <v>Environmental Health</v>
      </c>
      <c r="R58" t="str">
        <f>IFERROR(VLOOKUP($I58,[1]DB2!$F$2:$I$58,2,0),"옛날 부서명 확인")</f>
        <v xml:space="preserve">Circular Economy Division </v>
      </c>
      <c r="S58" t="str">
        <f>IFERROR(VLOOKUP($I58,[1]DB2!$F$2:$I$58,4,0),"옛날 부서명 확인")</f>
        <v xml:space="preserve">Sustainable Development Research Group  </v>
      </c>
    </row>
    <row r="59">
      <c r="A59" t="str">
        <v>66</v>
      </c>
      <c r="B59" t="str">
        <v>수탁과제</v>
      </c>
      <c r="C59" t="str">
        <v>2024-104</v>
      </c>
      <c r="D59" t="str">
        <v>아태지역의 플라스틱 오염 문제 해결을 위한 국가 전략 및 계획 분석(Analysis of National Strategies and Plans for Addressing Plastic Pollution in the Asia-Pacific Region)</v>
      </c>
      <c r="F59" t="str">
        <v>10273</v>
      </c>
      <c r="G59" t="str">
        <v>이소라</v>
      </c>
      <c r="H59" t="str">
        <v>202508204</v>
      </c>
      <c r="I59" t="str">
        <v>순환경제연구실</v>
      </c>
      <c r="J59">
        <v>135714150</v>
      </c>
      <c r="K59" s="1" t="d">
        <v>2024-11-28T23:59:08.000Z</v>
      </c>
      <c r="L59" s="1" t="d">
        <v>2025-09-29T23:59:08.000Z</v>
      </c>
      <c r="M59" t="str">
        <v>UNEP</v>
      </c>
      <c r="N59" t="str">
        <v>Analysis of National Strategies and Plans for Addressing Plastic Pollution in the Asia-Pacific Region</v>
      </c>
      <c r="O59" t="str">
        <f>IFERROR(VLOOKUP($G59,[1]DB2!$A:$B,2,0),"공동과책 확인")</f>
        <v xml:space="preserve">Yi, Sora </v>
      </c>
      <c r="P59" t="str">
        <v>Circular Economy</v>
      </c>
      <c r="Q59" t="str">
        <v>International Environmental Collaboration</v>
      </c>
      <c r="R59" t="str">
        <f>IFERROR(VLOOKUP($I59,[1]DB2!$F$2:$I$58,2,0),"옛날 부서명 확인")</f>
        <v xml:space="preserve">Circular Economy Division </v>
      </c>
      <c r="S59" t="str">
        <f>IFERROR(VLOOKUP($I59,[1]DB2!$F$2:$I$58,4,0),"옛날 부서명 확인")</f>
        <v xml:space="preserve">Sustainable Development Research Group  </v>
      </c>
    </row>
    <row r="60">
      <c r="A60" t="str">
        <v>67</v>
      </c>
      <c r="B60" t="str">
        <v>수탁과제</v>
      </c>
      <c r="C60" t="str">
        <v>2024-105</v>
      </c>
      <c r="D60" t="str">
        <v>국가 온실가스 장기 감축경로 마련을 위한 연구</v>
      </c>
      <c r="F60" t="str">
        <v>10327</v>
      </c>
      <c r="G60" t="str">
        <v>김성진</v>
      </c>
      <c r="H60" t="str">
        <v>201902197</v>
      </c>
      <c r="I60" t="str">
        <v>탄소중립연구실</v>
      </c>
      <c r="J60">
        <v>45454540</v>
      </c>
      <c r="K60" s="1" t="d">
        <v>2024-11-28T23:59:08.000Z</v>
      </c>
      <c r="L60" s="1" t="d">
        <v>2025-01-26T23:59:08.000Z</v>
      </c>
      <c r="M60" t="str">
        <v>환경부 기후전략과</v>
      </c>
      <c r="N60" t="str">
        <v>Developing National Long-Term Greenhouse Gas Reduction Pathways</v>
      </c>
      <c r="O60" t="str">
        <f>IFERROR(VLOOKUP($G60,[1]DB2!$A:$B,2,0),"공동과책 확인")</f>
        <v>Kim, Sungjin</v>
      </c>
      <c r="P60" t="str">
        <v>Carbon Neutrality and Energy</v>
      </c>
      <c r="R60" t="str">
        <f>IFERROR(VLOOKUP($I60,[1]DB2!$F$2:$I$58,2,0),"옛날 부서명 확인")</f>
        <v xml:space="preserve">Carbon Neutrality Division </v>
      </c>
      <c r="S60" t="str">
        <f>IFERROR(VLOOKUP($I60,[1]DB2!$F$2:$I$58,4,0),"옛날 부서명 확인")</f>
        <v xml:space="preserve">Climate and Atmospheric Strategy Research Group  </v>
      </c>
    </row>
    <row r="61">
      <c r="A61" t="str">
        <v>74</v>
      </c>
      <c r="B61" t="str">
        <v>수탁과제</v>
      </c>
      <c r="C61" t="str">
        <v>2024-106</v>
      </c>
      <c r="D61" t="str">
        <v>통합환경관리 대상업종 확대 검토</v>
      </c>
      <c r="F61" t="str">
        <v>10189</v>
      </c>
      <c r="G61" t="str">
        <v>한대호</v>
      </c>
      <c r="H61" t="str">
        <v>201902190</v>
      </c>
      <c r="I61" t="str">
        <v>물관리연구실</v>
      </c>
      <c r="J61">
        <v>90909090</v>
      </c>
      <c r="K61" s="1" t="d">
        <v>2024-12-03T23:59:08.000Z</v>
      </c>
      <c r="L61" s="1" t="d">
        <v>2025-07-30T23:59:08.000Z</v>
      </c>
      <c r="M61" t="str">
        <v>환경부</v>
      </c>
      <c r="N61" t="str">
        <v>Study on Expanding the Scope of Industries Subject to Integrated Environmental Management</v>
      </c>
      <c r="O61" t="str">
        <f>IFERROR(VLOOKUP($G61,[1]DB2!$A:$B,2,0),"공동과책 확인")</f>
        <v>Han, Daeho</v>
      </c>
      <c r="P61" t="str">
        <v>Socio-Environmental Interface</v>
      </c>
      <c r="Q61" t="str">
        <v>Land and Urban Environment</v>
      </c>
      <c r="R61" t="str">
        <f>IFERROR(VLOOKUP($I61,[1]DB2!$F$2:$I$58,2,0),"옛날 부서명 확인")</f>
        <v xml:space="preserve">Water Management Division </v>
      </c>
      <c r="S61" t="str">
        <f>IFERROR(VLOOKUP($I61,[1]DB2!$F$2:$I$58,4,0),"옛날 부서명 확인")</f>
        <v xml:space="preserve">Land and Environment Research Group </v>
      </c>
    </row>
    <row r="62">
      <c r="A62" t="str">
        <v>75</v>
      </c>
      <c r="B62" t="str">
        <v>수탁과제</v>
      </c>
      <c r="C62" t="str">
        <v>2024-107</v>
      </c>
      <c r="D62" t="str">
        <v>상수원 관리 고도화를 위한 환경관리기술 적용 분석</v>
      </c>
      <c r="F62" t="str">
        <v>10319</v>
      </c>
      <c r="G62" t="str">
        <v>전동진</v>
      </c>
      <c r="H62" t="str">
        <v>201902190</v>
      </c>
      <c r="I62" t="str">
        <v>물관리연구실</v>
      </c>
      <c r="J62">
        <v>44180000</v>
      </c>
      <c r="K62" s="1" t="d">
        <v>2024-12-05T23:59:08.000Z</v>
      </c>
      <c r="L62" s="1" t="d">
        <v>2025-04-03T23:59:08.000Z</v>
      </c>
      <c r="M62" t="str">
        <v>환경부</v>
      </c>
      <c r="N62" t="str">
        <v>Study on the Application of Environmental Management Technologies for Advanced Water Source Management</v>
      </c>
      <c r="O62" t="str">
        <f>IFERROR(VLOOKUP($G62,[1]DB2!$A:$B,2,0),"공동과책 확인")</f>
        <v>Jeon, Dongjin</v>
      </c>
      <c r="P62" t="str">
        <v>Water Management</v>
      </c>
      <c r="Q62" t="str">
        <v>AI and Environmental Informatics</v>
      </c>
      <c r="R62" t="str">
        <f>IFERROR(VLOOKUP($I62,[1]DB2!$F$2:$I$58,2,0),"옛날 부서명 확인")</f>
        <v xml:space="preserve">Water Management Division </v>
      </c>
      <c r="S62" t="str">
        <f>IFERROR(VLOOKUP($I62,[1]DB2!$F$2:$I$58,4,0),"옛날 부서명 확인")</f>
        <v xml:space="preserve">Land and Environment Research Group </v>
      </c>
    </row>
    <row r="63">
      <c r="A63" t="str">
        <v>76</v>
      </c>
      <c r="B63" t="str">
        <v>수탁과제</v>
      </c>
      <c r="C63" t="str">
        <v>2024-108</v>
      </c>
      <c r="D63" t="str">
        <v>수도사업 체계 정교화를 위한 수도법 정비방안 연구</v>
      </c>
      <c r="F63" t="str">
        <v>10254</v>
      </c>
      <c r="G63" t="str">
        <v>류재나</v>
      </c>
      <c r="H63" t="str">
        <v>202508190</v>
      </c>
      <c r="I63" t="str">
        <v>물관리연구실</v>
      </c>
      <c r="J63">
        <v>89200000</v>
      </c>
      <c r="K63" s="1" t="d">
        <v>2024-12-08T23:59:08.000Z</v>
      </c>
      <c r="L63" s="1" t="d">
        <v>2025-09-03T23:59:08.000Z</v>
      </c>
      <c r="M63" t="str">
        <v>환경부</v>
      </c>
      <c r="N63" t="str">
        <v>Study on Reforming the Water Supply and Waterworks Installation Act to Refine the Water Supply System</v>
      </c>
      <c r="O63" t="str">
        <f>IFERROR(VLOOKUP($G63,[1]DB2!$A:$B,2,0),"공동과책 확인")</f>
        <v>Ryu, Jaena</v>
      </c>
      <c r="P63" t="str">
        <v>Water Management</v>
      </c>
      <c r="R63" t="str">
        <f>IFERROR(VLOOKUP($I63,[1]DB2!$F$2:$I$58,2,0),"옛날 부서명 확인")</f>
        <v xml:space="preserve">Water Management Division </v>
      </c>
      <c r="S63" t="str">
        <f>IFERROR(VLOOKUP($I63,[1]DB2!$F$2:$I$58,4,0),"옛날 부서명 확인")</f>
        <v xml:space="preserve">Land and Environment Research Group </v>
      </c>
    </row>
    <row r="64">
      <c r="A64" t="str">
        <v>77</v>
      </c>
      <c r="B64" t="str">
        <v>수탁과제</v>
      </c>
      <c r="C64" t="str">
        <v>2024-109</v>
      </c>
      <c r="D64" t="str">
        <v>수도용 자재와 제품에 대한 인증제도 개선방안 마련 연구</v>
      </c>
      <c r="F64" t="str">
        <v>10254</v>
      </c>
      <c r="G64" t="str">
        <v>류재나</v>
      </c>
      <c r="H64" t="str">
        <v>202508190</v>
      </c>
      <c r="I64" t="str">
        <v>물관리연구실</v>
      </c>
      <c r="J64">
        <v>81000000</v>
      </c>
      <c r="K64" s="1" t="d">
        <v>2024-12-09T23:59:08.000Z</v>
      </c>
      <c r="L64" s="1" t="d">
        <v>2025-12-03T23:59:08.000Z</v>
      </c>
      <c r="M64" t="str">
        <v>환경부</v>
      </c>
      <c r="N64" t="str">
        <v>Developing Strategies to Improve the Certification System for Water Supply Materials and Products</v>
      </c>
      <c r="O64" t="str">
        <f>IFERROR(VLOOKUP($G64,[1]DB2!$A:$B,2,0),"공동과책 확인")</f>
        <v>Ryu, Jaena</v>
      </c>
      <c r="P64" t="str">
        <v>Water Management</v>
      </c>
      <c r="Q64" t="str">
        <v>Socio-Environmental Interface</v>
      </c>
      <c r="R64" t="str">
        <f>IFERROR(VLOOKUP($I64,[1]DB2!$F$2:$I$58,2,0),"옛날 부서명 확인")</f>
        <v xml:space="preserve">Water Management Division </v>
      </c>
      <c r="S64" t="str">
        <f>IFERROR(VLOOKUP($I64,[1]DB2!$F$2:$I$58,4,0),"옛날 부서명 확인")</f>
        <v xml:space="preserve">Land and Environment Research Group </v>
      </c>
    </row>
    <row r="65">
      <c r="A65" t="str">
        <v>78</v>
      </c>
      <c r="B65" t="str">
        <v>수탁과제</v>
      </c>
      <c r="C65" t="str">
        <v>2024-110</v>
      </c>
      <c r="D65" t="str">
        <v>지속가능발전 국가기본전략(26-45) 수립</v>
      </c>
      <c r="F65" t="str">
        <v>10220</v>
      </c>
      <c r="G65" t="str">
        <v>정우현</v>
      </c>
      <c r="H65" t="str">
        <v>202508189</v>
      </c>
      <c r="I65" t="str">
        <v>생활환경사회연구실</v>
      </c>
      <c r="J65">
        <v>124727270</v>
      </c>
      <c r="K65" s="1" t="d">
        <v>2024-12-17T23:59:08.000Z</v>
      </c>
      <c r="L65" s="1" t="d">
        <v>2025-10-30T23:59:08.000Z</v>
      </c>
      <c r="M65" t="str">
        <v>국무조정실</v>
      </c>
      <c r="N65" t="str">
        <v>Establishment of the National Basic Strategy for Sustainable Development (2026-2045)</v>
      </c>
      <c r="O65" t="str">
        <f>IFERROR(VLOOKUP($G65,[1]DB2!$A:$B,2,0),"공동과책 확인")</f>
        <v>Chung, Woo Hyun</v>
      </c>
      <c r="P65" t="str">
        <v>Sustainable Development</v>
      </c>
      <c r="R65" t="str">
        <f>IFERROR(VLOOKUP($I65,[1]DB2!$F$2:$I$58,2,0),"옛날 부서명 확인")</f>
        <v xml:space="preserve">Living Environment and Society Division </v>
      </c>
      <c r="S65" t="str">
        <f>IFERROR(VLOOKUP($I65,[1]DB2!$F$2:$I$58,4,0),"옛날 부서명 확인")</f>
        <v xml:space="preserve">Sustainable Development Research Group  </v>
      </c>
    </row>
    <row r="66">
      <c r="A66" t="str">
        <v>80</v>
      </c>
      <c r="B66" t="str">
        <v>수탁과제</v>
      </c>
      <c r="C66" t="str">
        <v>2025-001-01</v>
      </c>
      <c r="D66" t="str">
        <v>국가 기후위기 적응대책 수립 및 주류화 지원</v>
      </c>
      <c r="F66" t="str">
        <v>10158</v>
      </c>
      <c r="G66" t="str">
        <v>신지영</v>
      </c>
      <c r="H66" t="str">
        <v>202508124</v>
      </c>
      <c r="I66" t="str">
        <v>성과관리팀</v>
      </c>
      <c r="J66">
        <v>640000000</v>
      </c>
      <c r="K66" s="1" t="d">
        <v>2024-12-31T23:59:08.000Z</v>
      </c>
      <c r="L66" s="1" t="d">
        <v>2025-12-30T23:59:08.000Z</v>
      </c>
      <c r="M66" t="str">
        <v>환경부 기후적응과</v>
      </c>
      <c r="N66" t="str">
        <v>National Climate Adaptation Planning and Support for Policy Mainstreaming</v>
      </c>
      <c r="O66" t="str">
        <f>IFERROR(VLOOKUP($G66,[1]DB2!$A:$B,2,0),"공동과책 확인")</f>
        <v>Shin, Jiyoung</v>
      </c>
      <c r="P66" t="str">
        <v>Climate Adaptation</v>
      </c>
      <c r="R66" t="str">
        <f>IFERROR(VLOOKUP($I66,[1]DB2!$F$2:$I$58,2,0),"옛날 부서명 확인")</f>
        <v>Performance Management Team</v>
      </c>
      <c r="S66" t="str">
        <f>IFERROR(VLOOKUP($I66,[1]DB2!$F$2:$I$58,4,0),"옛날 부서명 확인")</f>
        <v xml:space="preserve">Department of Planning and Strategy </v>
      </c>
    </row>
    <row r="67">
      <c r="A67" t="str">
        <v>81</v>
      </c>
      <c r="B67" t="str">
        <v>수탁과제</v>
      </c>
      <c r="C67" t="str">
        <v>2025-001-02</v>
      </c>
      <c r="D67" t="str">
        <v>지자체 기후 적응 및 취약성 개선</v>
      </c>
      <c r="F67" t="str">
        <v>10323</v>
      </c>
      <c r="G67" t="str">
        <v>박진한</v>
      </c>
      <c r="H67" t="str">
        <v>202508124</v>
      </c>
      <c r="I67" t="str">
        <v>기후적응정책실</v>
      </c>
      <c r="J67">
        <v>980000000</v>
      </c>
      <c r="K67" s="1" t="d">
        <v>2024-12-31T23:59:08.000Z</v>
      </c>
      <c r="L67" s="1" t="d">
        <v>2025-12-30T23:59:08.000Z</v>
      </c>
      <c r="M67" t="str">
        <v>환경부 기후적응과</v>
      </c>
      <c r="N67" t="str">
        <v>Enhancing Climate Adaptation and Reducing Vulnerability in Local Governments</v>
      </c>
      <c r="O67" t="str">
        <f>IFERROR(VLOOKUP($G67,[1]DB2!$A:$B,2,0),"공동과책 확인")</f>
        <v>Park, Jin-han</v>
      </c>
      <c r="P67" t="str">
        <v>Climate Adaptation</v>
      </c>
      <c r="Q67" t="str">
        <v>Socio-Environmental Interface</v>
      </c>
      <c r="R67" t="str">
        <f>IFERROR(VLOOKUP($I67,[1]DB2!$F$2:$I$58,2,0),"옛날 부서명 확인")</f>
        <v xml:space="preserve">Climate Adaptation Policy Division </v>
      </c>
      <c r="S67" t="str">
        <f>IFERROR(VLOOKUP($I67,[1]DB2!$F$2:$I$58,4,0),"옛날 부서명 확인")</f>
        <v xml:space="preserve">Korea Adaptation Center for Climate Change </v>
      </c>
    </row>
    <row r="68">
      <c r="A68" t="str">
        <v>82</v>
      </c>
      <c r="B68" t="str">
        <v>수탁과제</v>
      </c>
      <c r="C68" t="str">
        <v>2025-001-03</v>
      </c>
      <c r="D68" t="str">
        <v>적응 주체별 적응역량 강화</v>
      </c>
      <c r="F68" t="str">
        <v>10166</v>
      </c>
      <c r="G68" t="str">
        <v>조한나</v>
      </c>
      <c r="H68" t="str">
        <v>202508123</v>
      </c>
      <c r="I68" t="str">
        <v>기후적응협력실</v>
      </c>
      <c r="J68">
        <v>640000000</v>
      </c>
      <c r="K68" s="1" t="d">
        <v>2024-12-31T23:59:08.000Z</v>
      </c>
      <c r="L68" s="1" t="d">
        <v>2025-12-30T23:59:08.000Z</v>
      </c>
      <c r="M68" t="str">
        <v>환경부 기후적응과</v>
      </c>
      <c r="N68" t="str">
        <v xml:space="preserve">Enhancing the Adaptation Capacity of Stakeholders </v>
      </c>
      <c r="O68" t="str">
        <f>IFERROR(VLOOKUP($G68,[1]DB2!$A:$B,2,0),"공동과책 확인")</f>
        <v>Cho, Hanna</v>
      </c>
      <c r="P68" t="str">
        <v>Climate Adaptation</v>
      </c>
      <c r="Q68" t="str">
        <v>Socio-Environmental Interface</v>
      </c>
      <c r="R68" t="str">
        <f>IFERROR(VLOOKUP($I68,[1]DB2!$F$2:$I$58,2,0),"옛날 부서명 확인")</f>
        <v xml:space="preserve">Climate Adaptation Cooperation Division </v>
      </c>
      <c r="S68" t="str">
        <f>IFERROR(VLOOKUP($I68,[1]DB2!$F$2:$I$58,4,0),"옛날 부서명 확인")</f>
        <v xml:space="preserve">Korea Adaptation Center for Climate Change </v>
      </c>
    </row>
    <row r="69">
      <c r="A69" t="str">
        <v>83</v>
      </c>
      <c r="B69" t="str">
        <v>수탁과제</v>
      </c>
      <c r="C69" t="str">
        <v>2025-001-04</v>
      </c>
      <c r="D69" t="str">
        <v>국내외 적응 협력 및 확산</v>
      </c>
      <c r="F69" t="str">
        <v>10166</v>
      </c>
      <c r="G69" t="str">
        <v>조한나</v>
      </c>
      <c r="H69" t="str">
        <v>202508123</v>
      </c>
      <c r="I69" t="str">
        <v>기후적응정책실</v>
      </c>
      <c r="J69">
        <v>670000000</v>
      </c>
      <c r="K69" s="1" t="d">
        <v>2024-12-31T23:59:08.000Z</v>
      </c>
      <c r="L69" s="1" t="d">
        <v>2025-12-30T23:59:08.000Z</v>
      </c>
      <c r="M69" t="str">
        <v>환경부 기후적응과</v>
      </c>
      <c r="N69" t="str">
        <v>Promoting Climate Adaptation Cooperation in Korea and Abroad</v>
      </c>
      <c r="O69" t="str">
        <f>IFERROR(VLOOKUP($G69,[1]DB2!$A:$B,2,0),"공동과책 확인")</f>
        <v>Cho, Hanna</v>
      </c>
      <c r="P69" t="str">
        <v>Climate Adaptation</v>
      </c>
      <c r="Q69" t="str">
        <v>International Environmental Collaboration</v>
      </c>
      <c r="R69" t="str">
        <f>IFERROR(VLOOKUP($I69,[1]DB2!$F$2:$I$58,2,0),"옛날 부서명 확인")</f>
        <v xml:space="preserve">Climate Adaptation Policy Division </v>
      </c>
      <c r="S69" t="str">
        <f>IFERROR(VLOOKUP($I69,[1]DB2!$F$2:$I$58,4,0),"옛날 부서명 확인")</f>
        <v xml:space="preserve">Korea Adaptation Center for Climate Change </v>
      </c>
    </row>
    <row r="70">
      <c r="A70" t="str">
        <v>84</v>
      </c>
      <c r="B70" t="str">
        <v>수탁과제</v>
      </c>
      <c r="C70" t="str">
        <v>2025-001-05</v>
      </c>
      <c r="D70" t="str">
        <v>총괄 및 적응정책 연구</v>
      </c>
      <c r="F70" t="str">
        <v>10210</v>
      </c>
      <c r="G70" t="str">
        <v>정휘철</v>
      </c>
      <c r="H70" t="str">
        <v>202508168</v>
      </c>
      <c r="I70" t="str">
        <v>국가기후위기적응센터</v>
      </c>
      <c r="J70">
        <v>165000000</v>
      </c>
      <c r="K70" s="1" t="d">
        <v>2024-12-31T23:59:08.000Z</v>
      </c>
      <c r="L70" s="1" t="d">
        <v>2025-12-30T23:59:08.000Z</v>
      </c>
      <c r="M70" t="str">
        <v>환경부 기후적응과</v>
      </c>
      <c r="N70" t="str">
        <v>Comprehensive Study and Research on Adaptation Policies</v>
      </c>
      <c r="O70" t="str">
        <f>IFERROR(VLOOKUP($G70,[1]DB2!$A:$B,2,0),"공동과책 확인")</f>
        <v>Jung, Huicheul</v>
      </c>
      <c r="P70" t="str">
        <v>Climate Adaptation</v>
      </c>
      <c r="R70" t="str">
        <f>IFERROR(VLOOKUP($I70,[1]DB2!$F$2:$I$58,2,0),"옛날 부서명 확인")</f>
        <v xml:space="preserve">Korea Adaptation Center for Climate Change </v>
      </c>
      <c r="S70" t="str">
        <f>IFERROR(VLOOKUP($I70,[1]DB2!$F$2:$I$58,4,0),"옛날 부서명 확인")</f>
        <v xml:space="preserve">Korea Adaptation Center for Climate Change </v>
      </c>
    </row>
    <row r="71">
      <c r="A71" t="str">
        <v>85</v>
      </c>
      <c r="B71" t="str">
        <v>수탁과제</v>
      </c>
      <c r="C71" t="str">
        <v>2025-002</v>
      </c>
      <c r="D71" t="str">
        <v>DM 프로젝트(3차년도)</v>
      </c>
      <c r="F71" t="str">
        <v>10317</v>
      </c>
      <c r="G71" t="str">
        <v>이승수</v>
      </c>
      <c r="H71" t="str">
        <v>202508190</v>
      </c>
      <c r="I71" t="str">
        <v>물관리연구실</v>
      </c>
      <c r="J71">
        <v>301550000</v>
      </c>
      <c r="K71" s="1" t="d">
        <v>2024-12-31T23:59:08.000Z</v>
      </c>
      <c r="L71" s="1" t="d">
        <v>2025-12-30T23:59:08.000Z</v>
      </c>
      <c r="M71" t="str">
        <v>미래과학아카데미</v>
      </c>
      <c r="N71" t="str">
        <v>DM Project (Year 3)</v>
      </c>
      <c r="O71" t="str">
        <f>IFERROR(VLOOKUP($G71,[1]DB2!$A:$B,2,0),"공동과책 확인")</f>
        <v xml:space="preserve">Lee, Seungsoo </v>
      </c>
      <c r="P71" t="str">
        <v>Water Management</v>
      </c>
      <c r="R71" t="str">
        <f>IFERROR(VLOOKUP($I71,[1]DB2!$F$2:$I$58,2,0),"옛날 부서명 확인")</f>
        <v xml:space="preserve">Water Management Division </v>
      </c>
      <c r="S71" t="str">
        <f>IFERROR(VLOOKUP($I71,[1]DB2!$F$2:$I$58,4,0),"옛날 부서명 확인")</f>
        <v xml:space="preserve">Land and Environment Research Group </v>
      </c>
    </row>
    <row r="72">
      <c r="A72" t="str">
        <v>86</v>
      </c>
      <c r="B72" t="str">
        <v>수탁과제</v>
      </c>
      <c r="C72" t="str">
        <v>2025-003</v>
      </c>
      <c r="D72" t="str">
        <v>2025년 국토환경성평가지도 구축·운영 사업</v>
      </c>
      <c r="F72" t="str">
        <v>10084</v>
      </c>
      <c r="G72" t="str">
        <v>윤정호</v>
      </c>
      <c r="H72" t="str">
        <v>202508205</v>
      </c>
      <c r="I72" t="str">
        <v>국토관리연구실</v>
      </c>
      <c r="J72">
        <v>2196000000</v>
      </c>
      <c r="K72" s="1" t="d">
        <v>2024-12-31T23:59:08.000Z</v>
      </c>
      <c r="L72" s="1" t="d">
        <v>2025-12-30T23:59:08.000Z</v>
      </c>
      <c r="M72" t="str">
        <v>환경부 국토환경정책과</v>
      </c>
      <c r="N72" t="str">
        <v>2025 Development and Management of National Land Environmental Assessment Maps</v>
      </c>
      <c r="O72" t="str">
        <f>IFERROR(VLOOKUP($G72,[1]DB2!$A:$B,2,0),"공동과책 확인")</f>
        <v>Yoon, Jeongho</v>
      </c>
      <c r="P72" t="str">
        <v>Land and Urban Environment</v>
      </c>
      <c r="Q72" t="str">
        <v>Environmental Assessment</v>
      </c>
      <c r="R72" t="str">
        <f>IFERROR(VLOOKUP($I72,[1]DB2!$F$2:$I$58,2,0),"옛날 부서명 확인")</f>
        <v>Spatial Planning and Management Division</v>
      </c>
      <c r="S72" t="str">
        <f>IFERROR(VLOOKUP($I72,[1]DB2!$F$2:$I$58,4,0),"옛날 부서명 확인")</f>
        <v xml:space="preserve">Land and Environment Research Group </v>
      </c>
    </row>
    <row r="73">
      <c r="A73" t="str">
        <v>87</v>
      </c>
      <c r="B73" t="str">
        <v>수탁과제</v>
      </c>
      <c r="C73" t="str">
        <v>2025-004</v>
      </c>
      <c r="D73" t="str">
        <v>KOICA 기후주류화 전략 및 액션플랜 수립을 위한 컨설팅 용역(2차)</v>
      </c>
      <c r="F73" t="str">
        <v>10252</v>
      </c>
      <c r="G73" t="str">
        <v>장훈</v>
      </c>
      <c r="H73" t="str">
        <v>202508199</v>
      </c>
      <c r="I73" t="str">
        <v>기후대기전략연구본부</v>
      </c>
      <c r="J73">
        <v>199967501</v>
      </c>
      <c r="K73" s="1" t="d">
        <v>2024-12-31T23:59:08.000Z</v>
      </c>
      <c r="L73" s="1" t="d">
        <v>2025-12-30T23:59:08.000Z</v>
      </c>
      <c r="M73" t="str">
        <v>한국국제협력단</v>
      </c>
      <c r="N73" t="str">
        <v>KOICA Climate Mainstreaming Strategy and Action Plan Development Consulting (Phase 2)</v>
      </c>
      <c r="O73" t="str">
        <f>IFERROR(VLOOKUP($G73,[1]DB2!$A:$B,2,0),"공동과책 확인")</f>
        <v>Chang, Hoon</v>
      </c>
      <c r="P73" t="str">
        <v>Climate Adaptation</v>
      </c>
      <c r="Q73" t="str">
        <v>International Environmental Collaboration</v>
      </c>
      <c r="R73" t="str">
        <f>IFERROR(VLOOKUP($I73,[1]DB2!$F$2:$I$58,2,0),"옛날 부서명 확인")</f>
        <v xml:space="preserve">Climate and Atmospheric Strategy Research Group  </v>
      </c>
      <c r="S73" t="str">
        <f>IFERROR(VLOOKUP($I73,[1]DB2!$F$2:$I$58,4,0),"옛날 부서명 확인")</f>
        <v xml:space="preserve">Climate and Atmospheric Strategy Research Group  </v>
      </c>
    </row>
    <row r="74">
      <c r="A74" t="str">
        <v>88</v>
      </c>
      <c r="B74" t="str">
        <v>수탁과제</v>
      </c>
      <c r="C74" t="str">
        <v>2025-005(R)</v>
      </c>
      <c r="D74" t="str">
        <v>습지생태계 서비스 및 가치평가 정량화 기술개발(4차년도)</v>
      </c>
      <c r="F74" t="str">
        <v>10292</v>
      </c>
      <c r="G74" t="str">
        <v>김현노</v>
      </c>
      <c r="H74" t="str">
        <v>202508095</v>
      </c>
      <c r="I74" t="str">
        <v>녹색경제연구실</v>
      </c>
      <c r="J74">
        <v>249984000</v>
      </c>
      <c r="K74" s="1" t="d">
        <v>2024-12-31T23:59:08.000Z</v>
      </c>
      <c r="L74" s="1" t="d">
        <v>2025-12-30T23:59:08.000Z</v>
      </c>
      <c r="M74" t="str">
        <v xml:space="preserve">한국환경산업기술원 </v>
      </c>
      <c r="N74" t="str">
        <v>Developing Quantitative Assessment Techniques for Wetland Ecosystem Services and Value (Year 4)</v>
      </c>
      <c r="O74" t="str">
        <f>IFERROR(VLOOKUP($G74,[1]DB2!$A:$B,2,0),"공동과책 확인")</f>
        <v>Kim, Hyunno</v>
      </c>
      <c r="P74" t="str">
        <v>Environmental Economics</v>
      </c>
      <c r="Q74" t="str">
        <v>Ecology</v>
      </c>
      <c r="R74" t="str">
        <f>IFERROR(VLOOKUP($I74,[1]DB2!$F$2:$I$58,2,0),"옛날 부서명 확인")</f>
        <v xml:space="preserve">Green Economy Division </v>
      </c>
      <c r="S74" t="str">
        <f>IFERROR(VLOOKUP($I74,[1]DB2!$F$2:$I$58,4,0),"옛날 부서명 확인")</f>
        <v xml:space="preserve">Climate and Atmospheric Strategy Research Group  </v>
      </c>
    </row>
    <row r="75">
      <c r="A75" t="str">
        <v>89</v>
      </c>
      <c r="B75" t="str">
        <v>수탁과제</v>
      </c>
      <c r="C75" t="str">
        <v>2025-006(R)</v>
      </c>
      <c r="D75" t="str">
        <v>공공주도 해상풍력 적합입지 발굴 연구(2차년도)</v>
      </c>
      <c r="F75" t="str">
        <v>10155</v>
      </c>
      <c r="G75" t="str">
        <v>조공장</v>
      </c>
      <c r="H75" t="str">
        <v>202508189</v>
      </c>
      <c r="I75" t="str">
        <v>생활환경사회연구실</v>
      </c>
      <c r="J75">
        <v>450000000</v>
      </c>
      <c r="K75" s="1" t="d">
        <v>2024-12-31T23:59:08.000Z</v>
      </c>
      <c r="L75" s="1" t="d">
        <v>2026-12-30T23:59:08.000Z</v>
      </c>
      <c r="M75" t="str">
        <v>한국에너지공단</v>
      </c>
      <c r="N75" t="str">
        <v>Identifying Suitable Sites for Public-Led Offshore Wind Projects (Year 2)</v>
      </c>
      <c r="O75" t="str">
        <f>IFERROR(VLOOKUP($G75,[1]DB2!$A:$B,2,0),"공동과책 확인")</f>
        <v>Cho, Kongjang</v>
      </c>
      <c r="P75" t="str">
        <v>Socio-Environmental Interface</v>
      </c>
      <c r="Q75" t="str">
        <v>Carbon Neutrality and Energy</v>
      </c>
      <c r="R75" t="str">
        <f>IFERROR(VLOOKUP($I75,[1]DB2!$F$2:$I$58,2,0),"옛날 부서명 확인")</f>
        <v xml:space="preserve">Living Environment and Society Division </v>
      </c>
      <c r="S75" t="str">
        <f>IFERROR(VLOOKUP($I75,[1]DB2!$F$2:$I$58,4,0),"옛날 부서명 확인")</f>
        <v xml:space="preserve">Sustainable Development Research Group  </v>
      </c>
    </row>
    <row r="76">
      <c r="A76" t="str">
        <v>90</v>
      </c>
      <c r="B76" t="str">
        <v>수탁과제</v>
      </c>
      <c r="C76" t="str">
        <v>2025-007(R)</v>
      </c>
      <c r="D76" t="str">
        <v>WMO IG³IS 이행사업 개선(2차년도)</v>
      </c>
      <c r="F76" t="str">
        <v>10348</v>
      </c>
      <c r="G76" t="str">
        <v>한지현,심창섭</v>
      </c>
      <c r="H76" t="str">
        <v>202508187</v>
      </c>
      <c r="I76" t="str">
        <v>대기환경연구실</v>
      </c>
      <c r="J76">
        <v>130000000</v>
      </c>
      <c r="K76" s="1" t="d">
        <v>2024-12-31T23:59:08.000Z</v>
      </c>
      <c r="L76" s="1" t="d">
        <v>2025-12-30T23:59:08.000Z</v>
      </c>
      <c r="M76" t="str">
        <v>한국기상산업기술원</v>
      </c>
      <c r="N76" t="str">
        <v>Enhancing the Implementation of WMO’s Integrated Global Greenhouse Gas Information System (IG³IS) (Year 2)</v>
      </c>
      <c r="O76" t="str">
        <v>Han, Jihyun and Shim, Changsub</v>
      </c>
      <c r="P76" t="str">
        <v>AI and Environmental Informatics</v>
      </c>
      <c r="Q76" t="str">
        <v>Carbon Neutrality and Energy</v>
      </c>
      <c r="R76" t="str">
        <f>IFERROR(VLOOKUP($I76,[1]DB2!$F$2:$I$58,2,0),"옛날 부서명 확인")</f>
        <v>Atmospheric Environment Division</v>
      </c>
      <c r="S76" t="str">
        <f>IFERROR(VLOOKUP($I76,[1]DB2!$F$2:$I$58,4,0),"옛날 부서명 확인")</f>
        <v xml:space="preserve">Climate and Atmospheric Strategy Research Group  </v>
      </c>
    </row>
    <row r="77">
      <c r="A77" t="str">
        <v>91</v>
      </c>
      <c r="B77" t="str">
        <v>수탁과제</v>
      </c>
      <c r="C77" t="str">
        <v>2025-008(R)</v>
      </c>
      <c r="D77" t="str">
        <v>AI 기반 해양수색구조 의사결정지원시스템 개발(4차년도)</v>
      </c>
      <c r="F77" t="str">
        <v>10257</v>
      </c>
      <c r="G77" t="str">
        <v>김충기</v>
      </c>
      <c r="H77" t="str">
        <v>202508192</v>
      </c>
      <c r="I77" t="str">
        <v>자연환경연구실</v>
      </c>
      <c r="J77">
        <v>1181000000</v>
      </c>
      <c r="K77" s="1" t="d">
        <v>2024-12-31T23:59:08.000Z</v>
      </c>
      <c r="L77" s="1" t="d">
        <v>2025-12-30T23:59:08.000Z</v>
      </c>
      <c r="M77" t="str">
        <v>해양수산과학기술진흥원</v>
      </c>
      <c r="N77" t="str">
        <v>Development of an AI-Based Decision Support System for Maritime Search and Rescue (Year 4)</v>
      </c>
      <c r="O77" t="str">
        <f>IFERROR(VLOOKUP($G77,[1]DB2!$A:$B,2,0),"공동과책 확인")</f>
        <v>Kim, Choong-ki</v>
      </c>
      <c r="P77" t="str">
        <v>Marine Environment</v>
      </c>
      <c r="Q77" t="str">
        <v>AI and Environmental Informatics</v>
      </c>
      <c r="R77" t="str">
        <f>IFERROR(VLOOKUP($I77,[1]DB2!$F$2:$I$58,2,0),"옛날 부서명 확인")</f>
        <v xml:space="preserve">Natural Environment Division </v>
      </c>
      <c r="S77" t="str">
        <f>IFERROR(VLOOKUP($I77,[1]DB2!$F$2:$I$58,4,0),"옛날 부서명 확인")</f>
        <v xml:space="preserve">Land and Environment Research Group </v>
      </c>
    </row>
    <row r="78">
      <c r="A78" t="str">
        <v>92</v>
      </c>
      <c r="B78" t="str">
        <v>수탁과제</v>
      </c>
      <c r="C78" t="str">
        <v>2025-009(R)</v>
      </c>
      <c r="D78" t="str">
        <v>기후변화 적응을 위한 의사결정형 통합 영향평가 플랫폼 기반 구축 및 활용기술개발(4차년도)</v>
      </c>
      <c r="F78" t="str">
        <v>50026</v>
      </c>
      <c r="G78" t="str">
        <v>송영일</v>
      </c>
      <c r="H78" t="str">
        <v>202508124</v>
      </c>
      <c r="I78" t="str">
        <v>기후적응정책실</v>
      </c>
      <c r="J78">
        <v>850000000</v>
      </c>
      <c r="K78" s="1" t="d">
        <v>2024-12-31T23:59:08.000Z</v>
      </c>
      <c r="L78" s="1" t="d">
        <v>2025-12-30T23:59:08.000Z</v>
      </c>
      <c r="M78" t="str">
        <v xml:space="preserve">한국환경산업기술원 </v>
      </c>
      <c r="N78" t="str">
        <v>Development and Application of an Integrated Impact Assessment Platform for Decision-Making in Climate Change Adaptation (Year 4)</v>
      </c>
      <c r="O78" t="str">
        <f>IFERROR(VLOOKUP($G78,[1]DB2!$A:$B,2,0),"공동과책 확인")</f>
        <v>Song, Youngil</v>
      </c>
      <c r="P78" t="str">
        <v>Climate Adaptation</v>
      </c>
      <c r="Q78" t="str">
        <v>AI and Environmental Informatics</v>
      </c>
      <c r="R78" t="str">
        <f>IFERROR(VLOOKUP($I78,[1]DB2!$F$2:$I$58,2,0),"옛날 부서명 확인")</f>
        <v xml:space="preserve">Climate Adaptation Policy Division </v>
      </c>
      <c r="S78" t="str">
        <f>IFERROR(VLOOKUP($I78,[1]DB2!$F$2:$I$58,4,0),"옛날 부서명 확인")</f>
        <v xml:space="preserve">Korea Adaptation Center for Climate Change </v>
      </c>
    </row>
    <row r="79">
      <c r="A79" t="str">
        <v>93</v>
      </c>
      <c r="B79" t="str">
        <v>수탁과제</v>
      </c>
      <c r="C79" t="str">
        <v>2025-009(R)-01</v>
      </c>
      <c r="D79" t="str">
        <v>의사결정 지원을 위한 적응대책 선정 및 리스크 저감효과 진단 모듈 개발</v>
      </c>
      <c r="F79" t="str">
        <v>50026</v>
      </c>
      <c r="G79" t="str">
        <v>송영일</v>
      </c>
      <c r="H79" t="str">
        <v>202508124</v>
      </c>
      <c r="I79" t="str">
        <v>기후적응정책실</v>
      </c>
      <c r="J79">
        <v>558000000</v>
      </c>
      <c r="K79" s="1" t="d">
        <v>2024-12-31T23:59:08.000Z</v>
      </c>
      <c r="L79" s="1" t="d">
        <v>2025-12-30T23:59:08.000Z</v>
      </c>
      <c r="M79" t="str">
        <v xml:space="preserve">한국환경산업기술원 </v>
      </c>
      <c r="N79" t="str">
        <v>Developing a Decision-Support Module for Adaptation Strategy Selection and Risk Mitigation Evaluation</v>
      </c>
      <c r="O79" t="str">
        <f>IFERROR(VLOOKUP($G79,[1]DB2!$A:$B,2,0),"공동과책 확인")</f>
        <v>Song, Youngil</v>
      </c>
      <c r="P79" t="str">
        <v>Climate Adaptation</v>
      </c>
      <c r="Q79" t="str">
        <v>AI and Environmental Informatics</v>
      </c>
      <c r="R79" t="str">
        <f>IFERROR(VLOOKUP($I79,[1]DB2!$F$2:$I$58,2,0),"옛날 부서명 확인")</f>
        <v xml:space="preserve">Climate Adaptation Policy Division </v>
      </c>
      <c r="S79" t="str">
        <f>IFERROR(VLOOKUP($I79,[1]DB2!$F$2:$I$58,4,0),"옛날 부서명 확인")</f>
        <v xml:space="preserve">Korea Adaptation Center for Climate Change </v>
      </c>
    </row>
    <row r="80">
      <c r="A80" t="str">
        <v>94</v>
      </c>
      <c r="B80" t="str">
        <v>수탁과제</v>
      </c>
      <c r="C80" t="str">
        <v>2025-009(R)-02</v>
      </c>
      <c r="D80" t="str">
        <v>지역기반 물관리 기후변화 영향 및 리스크 평가 시스템 개발</v>
      </c>
      <c r="F80" t="str">
        <v>10193</v>
      </c>
      <c r="G80" t="str">
        <v>안종호</v>
      </c>
      <c r="H80" t="str">
        <v>202508190</v>
      </c>
      <c r="I80" t="str">
        <v>물관리연구실</v>
      </c>
      <c r="J80">
        <v>40400000</v>
      </c>
      <c r="K80" s="1" t="d">
        <v>2024-12-31T23:59:08.000Z</v>
      </c>
      <c r="L80" s="1" t="d">
        <v>2025-12-30T23:59:08.000Z</v>
      </c>
      <c r="M80" t="str">
        <v xml:space="preserve">한국환경산업기술원 </v>
      </c>
      <c r="N80" t="str">
        <v>Developing a Regional Water Management System for Climate Change Impact and Risk Evaluation</v>
      </c>
      <c r="O80" t="str">
        <f>IFERROR(VLOOKUP($G80,[1]DB2!$A:$B,2,0),"공동과책 확인")</f>
        <v>Ahn, Jongho</v>
      </c>
      <c r="P80" t="str">
        <v>Water Management</v>
      </c>
      <c r="Q80" t="str">
        <v>Climate Adaptation</v>
      </c>
      <c r="R80" t="str">
        <f>IFERROR(VLOOKUP($I80,[1]DB2!$F$2:$I$58,2,0),"옛날 부서명 확인")</f>
        <v xml:space="preserve">Water Management Division </v>
      </c>
      <c r="S80" t="str">
        <f>IFERROR(VLOOKUP($I80,[1]DB2!$F$2:$I$58,4,0),"옛날 부서명 확인")</f>
        <v xml:space="preserve">Land and Environment Research Group </v>
      </c>
    </row>
    <row r="81">
      <c r="A81" t="str">
        <v>95</v>
      </c>
      <c r="B81" t="str">
        <v>수탁과제</v>
      </c>
      <c r="C81" t="str">
        <v>2025-010(R)</v>
      </c>
      <c r="D81" t="str">
        <v>탄소중립 이행을 위한 글로벌 전력부문 모형 개발(4차년도)</v>
      </c>
      <c r="F81" t="str">
        <v>10252</v>
      </c>
      <c r="G81" t="str">
        <v>장훈</v>
      </c>
      <c r="H81" t="str">
        <v>202508199</v>
      </c>
      <c r="I81" t="str">
        <v>기후대기전략연구본부</v>
      </c>
      <c r="J81">
        <v>280700000</v>
      </c>
      <c r="K81" s="1" t="d">
        <v>2024-12-31T23:59:08.000Z</v>
      </c>
      <c r="L81" s="1" t="d">
        <v>2025-12-30T23:59:08.000Z</v>
      </c>
      <c r="M81" t="str">
        <v xml:space="preserve">한국환경산업기술원 </v>
      </c>
      <c r="N81" t="str">
        <v>Global Power Sector Modeling for Advancing Carbon Neutrality (Year 4)</v>
      </c>
      <c r="O81" t="str">
        <f>IFERROR(VLOOKUP($G81,[1]DB2!$A:$B,2,0),"공동과책 확인")</f>
        <v>Chang, Hoon</v>
      </c>
      <c r="P81" t="str">
        <v>Carbon Neutrality and Energy</v>
      </c>
      <c r="Q81" t="str">
        <v>International Environmental Collaboration</v>
      </c>
      <c r="R81" t="str">
        <f>IFERROR(VLOOKUP($I81,[1]DB2!$F$2:$I$58,2,0),"옛날 부서명 확인")</f>
        <v xml:space="preserve">Climate and Atmospheric Strategy Research Group  </v>
      </c>
      <c r="S81" t="str">
        <f>IFERROR(VLOOKUP($I81,[1]DB2!$F$2:$I$58,4,0),"옛날 부서명 확인")</f>
        <v xml:space="preserve">Climate and Atmospheric Strategy Research Group  </v>
      </c>
    </row>
    <row r="82">
      <c r="A82" t="str">
        <v>96</v>
      </c>
      <c r="B82" t="str">
        <v>수탁과제</v>
      </c>
      <c r="C82" t="str">
        <v>2025-011(R)</v>
      </c>
      <c r="D82" t="str">
        <v>도시공간 기후탄력성 확보 기술 평가 및 의사결정지원 시스템 개발(4차년도)</v>
      </c>
      <c r="F82" t="str">
        <v>10210</v>
      </c>
      <c r="G82" t="str">
        <v>정휘철</v>
      </c>
      <c r="H82" t="str">
        <v>202508168</v>
      </c>
      <c r="I82" t="str">
        <v>국가기후위기적응센터</v>
      </c>
      <c r="J82">
        <v>299000000</v>
      </c>
      <c r="K82" s="1" t="d">
        <v>2024-12-31T23:59:08.000Z</v>
      </c>
      <c r="L82" s="1" t="d">
        <v>2025-12-30T23:59:08.000Z</v>
      </c>
      <c r="M82" t="str">
        <v xml:space="preserve">한국환경산업기술원 </v>
      </c>
      <c r="N82" t="str">
        <v>Evaluation of Urban Climate Resilience Technologies and Development of a Decision Support System (Year 4)</v>
      </c>
      <c r="O82" t="str">
        <f>IFERROR(VLOOKUP($G82,[1]DB2!$A:$B,2,0),"공동과책 확인")</f>
        <v>Jung, Huicheul</v>
      </c>
      <c r="P82" t="str">
        <v>Climate Adaptation</v>
      </c>
      <c r="Q82" t="str">
        <v>AI and Environmental Informatics</v>
      </c>
      <c r="R82" t="str">
        <f>IFERROR(VLOOKUP($I82,[1]DB2!$F$2:$I$58,2,0),"옛날 부서명 확인")</f>
        <v xml:space="preserve">Korea Adaptation Center for Climate Change </v>
      </c>
      <c r="S82" t="str">
        <f>IFERROR(VLOOKUP($I82,[1]DB2!$F$2:$I$58,4,0),"옛날 부서명 확인")</f>
        <v xml:space="preserve">Korea Adaptation Center for Climate Change </v>
      </c>
    </row>
    <row r="83">
      <c r="A83" t="str">
        <v>97</v>
      </c>
      <c r="B83" t="str">
        <v>수탁과제</v>
      </c>
      <c r="C83" t="str">
        <v>2025-012(R)</v>
      </c>
      <c r="D83" t="str">
        <v>생활화학제품 함유 혼합물 대상 인체 복합 유해성 평가용 AOP기반 통합시험평가접근법(ITS/IATA) 개발(3차년도)</v>
      </c>
      <c r="F83" t="str">
        <v>10297</v>
      </c>
      <c r="G83" t="str">
        <v>정다운</v>
      </c>
      <c r="H83" t="str">
        <v>202508119</v>
      </c>
      <c r="I83" t="str">
        <v>환경보건연구실</v>
      </c>
      <c r="J83">
        <v>150000000</v>
      </c>
      <c r="K83" s="1" t="d">
        <v>2024-12-31T23:59:08.000Z</v>
      </c>
      <c r="L83" s="1" t="d">
        <v>2025-12-30T23:59:08.000Z</v>
      </c>
      <c r="M83" t="str">
        <v xml:space="preserve">한국환경산업기술원 </v>
      </c>
      <c r="N83" t="str">
        <v>Developing an AOP-Based Integrated Testing and Assessment Approach (ITS/IATA) for Complex Human Toxicity Evaluation of Mixtures in Consumer Chemical Products (Year 3)</v>
      </c>
      <c r="O83" t="str">
        <f>IFERROR(VLOOKUP($G83,[1]DB2!$A:$B,2,0),"공동과책 확인")</f>
        <v xml:space="preserve">Jung, Dawoon </v>
      </c>
      <c r="P83" t="str">
        <v>Environmental Health</v>
      </c>
      <c r="Q83" t="str">
        <v>Sustainable Development</v>
      </c>
      <c r="R83" t="str">
        <f>IFERROR(VLOOKUP($I83,[1]DB2!$F$2:$I$58,2,0),"옛날 부서명 확인")</f>
        <v xml:space="preserve">Environmental Health Division </v>
      </c>
      <c r="S83" t="str">
        <f>IFERROR(VLOOKUP($I83,[1]DB2!$F$2:$I$58,4,0),"옛날 부서명 확인")</f>
        <v xml:space="preserve">Sustainable Development Research Group  </v>
      </c>
    </row>
    <row r="84">
      <c r="A84" t="str">
        <v>98</v>
      </c>
      <c r="B84" t="str">
        <v>수탁과제</v>
      </c>
      <c r="C84" t="str">
        <v>2025-013(R)</v>
      </c>
      <c r="D84" t="str">
        <v>물부족 피해분석 및 물공급의 사회/경제적 가치 평가 기술 개발과 활용방안(3차년도)</v>
      </c>
      <c r="F84" t="str">
        <v>10318</v>
      </c>
      <c r="G84" t="str">
        <v>이문환</v>
      </c>
      <c r="H84" t="str">
        <v>202508190</v>
      </c>
      <c r="I84" t="str">
        <v>물관리연구실</v>
      </c>
      <c r="J84">
        <v>182000000</v>
      </c>
      <c r="K84" s="1" t="d">
        <v>2024-12-31T23:59:08.000Z</v>
      </c>
      <c r="L84" s="1" t="d">
        <v>2025-12-30T23:59:08.000Z</v>
      </c>
      <c r="M84" t="str">
        <v xml:space="preserve">한국환경산업기술원 </v>
      </c>
      <c r="N84" t="str">
        <v>Development and Application of Techniques for Water Scarcity Damage Analysis and Socioeconomic Valuation of Water Supply (Year 3)</v>
      </c>
      <c r="O84" t="str">
        <f>IFERROR(VLOOKUP($G84,[1]DB2!$A:$B,2,0),"공동과책 확인")</f>
        <v>Lee, Moonhwan</v>
      </c>
      <c r="P84" t="str">
        <v>Water Management</v>
      </c>
      <c r="Q84" t="str">
        <v>Environmental Economics</v>
      </c>
      <c r="R84" t="str">
        <f>IFERROR(VLOOKUP($I84,[1]DB2!$F$2:$I$58,2,0),"옛날 부서명 확인")</f>
        <v xml:space="preserve">Water Management Division </v>
      </c>
      <c r="S84" t="str">
        <f>IFERROR(VLOOKUP($I84,[1]DB2!$F$2:$I$58,4,0),"옛날 부서명 확인")</f>
        <v xml:space="preserve">Land and Environment Research Group </v>
      </c>
    </row>
    <row r="85">
      <c r="A85" t="str">
        <v>99</v>
      </c>
      <c r="B85" t="str">
        <v>수탁과제</v>
      </c>
      <c r="C85" t="str">
        <v>2025-014(R)</v>
      </c>
      <c r="D85" t="str">
        <v>탄소공간지도기반 계획지원 기술개발(3차년도)</v>
      </c>
      <c r="F85" t="str">
        <v>10281</v>
      </c>
      <c r="G85" t="str">
        <v>김근한</v>
      </c>
      <c r="H85" t="str">
        <v>202508205</v>
      </c>
      <c r="I85" t="str">
        <v>국토관리연구실</v>
      </c>
      <c r="J85">
        <v>300000000</v>
      </c>
      <c r="K85" s="1" t="d">
        <v>2024-12-31T23:59:08.000Z</v>
      </c>
      <c r="L85" s="1" t="d">
        <v>2025-12-30T23:59:08.000Z</v>
      </c>
      <c r="M85" t="str">
        <v>국토교통과학기술진흥원</v>
      </c>
      <c r="N85" t="str">
        <v>Technology Development for Supporting Carbon Mapping-Based Planning (Year 3)</v>
      </c>
      <c r="O85" t="str">
        <f>IFERROR(VLOOKUP($G85,[1]DB2!$A:$B,2,0),"공동과책 확인")</f>
        <v xml:space="preserve">Kim, Geunhan </v>
      </c>
      <c r="P85" t="str">
        <v>Land and Urban Environment</v>
      </c>
      <c r="Q85" t="str">
        <v>Carbon Neutrality and Energy</v>
      </c>
      <c r="R85" t="str">
        <f>IFERROR(VLOOKUP($I85,[1]DB2!$F$2:$I$58,2,0),"옛날 부서명 확인")</f>
        <v>Spatial Planning and Management Division</v>
      </c>
      <c r="S85" t="str">
        <f>IFERROR(VLOOKUP($I85,[1]DB2!$F$2:$I$58,4,0),"옛날 부서명 확인")</f>
        <v xml:space="preserve">Land and Environment Research Group </v>
      </c>
    </row>
    <row r="86">
      <c r="A86" t="str">
        <v>100</v>
      </c>
      <c r="B86" t="str">
        <v>수탁과제</v>
      </c>
      <c r="C86" t="str">
        <v>2025-015(R)</v>
      </c>
      <c r="D86" t="str">
        <v>습지생태계 기후변화 대응 평가·예측관리 기술 개발(4차년도)</v>
      </c>
      <c r="F86" t="str">
        <v>10185</v>
      </c>
      <c r="G86" t="str">
        <v>명수정</v>
      </c>
      <c r="H86" t="str">
        <v>202508192</v>
      </c>
      <c r="I86" t="str">
        <v>자연환경연구실</v>
      </c>
      <c r="J86">
        <v>138600000</v>
      </c>
      <c r="K86" s="1" t="d">
        <v>2024-12-31T23:59:08.000Z</v>
      </c>
      <c r="L86" s="1" t="d">
        <v>2025-12-30T23:59:08.000Z</v>
      </c>
      <c r="M86" t="str">
        <v xml:space="preserve">한국환경산업기술원 </v>
      </c>
      <c r="N86" t="str">
        <v>Developing Technologies for Assessing and Predicting Wetland Ecosystem Responses to Climate Change (Year 4)</v>
      </c>
      <c r="O86" t="str">
        <f>IFERROR(VLOOKUP($G86,[1]DB2!$A:$B,2,0),"공동과책 확인")</f>
        <v>Myeong, Soojeong</v>
      </c>
      <c r="P86" t="str">
        <v>Ecology</v>
      </c>
      <c r="Q86" t="str">
        <v>Climate Adaptation</v>
      </c>
      <c r="R86" t="str">
        <f>IFERROR(VLOOKUP($I86,[1]DB2!$F$2:$I$58,2,0),"옛날 부서명 확인")</f>
        <v xml:space="preserve">Natural Environment Division </v>
      </c>
      <c r="S86" t="str">
        <f>IFERROR(VLOOKUP($I86,[1]DB2!$F$2:$I$58,4,0),"옛날 부서명 확인")</f>
        <v xml:space="preserve">Land and Environment Research Group </v>
      </c>
    </row>
    <row r="87">
      <c r="A87" t="str">
        <v>101</v>
      </c>
      <c r="B87" t="str">
        <v>수탁과제</v>
      </c>
      <c r="C87" t="str">
        <v>2025-017(R)</v>
      </c>
      <c r="D87" t="str">
        <v>AI 기반 도시침수 피해 위험도 예측 및 평가 실용화 기술 개발(2차년도)</v>
      </c>
      <c r="F87" t="str">
        <v>10318</v>
      </c>
      <c r="G87" t="str">
        <v>이문환</v>
      </c>
      <c r="H87" t="str">
        <v>202508190</v>
      </c>
      <c r="I87" t="str">
        <v>물관리연구실</v>
      </c>
      <c r="J87">
        <v>258000000</v>
      </c>
      <c r="K87" s="1" t="d">
        <v>2024-12-31T23:59:08.000Z</v>
      </c>
      <c r="L87" s="1" t="d">
        <v>2025-12-30T23:59:08.000Z</v>
      </c>
      <c r="M87" t="str">
        <v>한국산업기술기획평가원</v>
      </c>
      <c r="N87" t="str">
        <v>Developing AI-Based Practical Tools for Urban Flood Risk Prediction and Assessment (Year 2)</v>
      </c>
      <c r="O87" t="str">
        <f>IFERROR(VLOOKUP($G87,[1]DB2!$A:$B,2,0),"공동과책 확인")</f>
        <v>Lee, Moonhwan</v>
      </c>
      <c r="P87" t="str">
        <v>Water Management</v>
      </c>
      <c r="Q87" t="str">
        <v>AI and Environmental Informatics</v>
      </c>
      <c r="R87" t="str">
        <f>IFERROR(VLOOKUP($I87,[1]DB2!$F$2:$I$58,2,0),"옛날 부서명 확인")</f>
        <v xml:space="preserve">Water Management Division </v>
      </c>
      <c r="S87" t="str">
        <f>IFERROR(VLOOKUP($I87,[1]DB2!$F$2:$I$58,4,0),"옛날 부서명 확인")</f>
        <v xml:space="preserve">Land and Environment Research Group </v>
      </c>
    </row>
    <row r="88">
      <c r="A88" t="str">
        <v>102</v>
      </c>
      <c r="B88" t="str">
        <v>수탁과제</v>
      </c>
      <c r="C88" t="str">
        <v>2025-018(R)</v>
      </c>
      <c r="D88" t="str">
        <v>생태계서비스를 고려한 탄소흡수원 통합관리 플랫폼 기술개발(3차년도)</v>
      </c>
      <c r="F88" t="str">
        <v>10185</v>
      </c>
      <c r="G88" t="str">
        <v>명수정</v>
      </c>
      <c r="H88" t="str">
        <v>202508192</v>
      </c>
      <c r="I88" t="str">
        <v>자연환경연구실</v>
      </c>
      <c r="J88">
        <v>100000000</v>
      </c>
      <c r="K88" s="1" t="d">
        <v>2024-12-31T23:59:08.000Z</v>
      </c>
      <c r="L88" s="1" t="d">
        <v>2025-12-30T23:59:08.000Z</v>
      </c>
      <c r="M88" t="str">
        <v xml:space="preserve">한국환경산업기술원 </v>
      </c>
      <c r="N88" t="str">
        <v>Developing an Integrated Management Platform for Carbon Sinks Incorporating Ecosystem Services (Year 3)</v>
      </c>
      <c r="O88" t="str">
        <f>IFERROR(VLOOKUP($G88,[1]DB2!$A:$B,2,0),"공동과책 확인")</f>
        <v>Myeong, Soojeong</v>
      </c>
      <c r="P88" t="str">
        <v>Carbon Neutrality and Energy</v>
      </c>
      <c r="Q88" t="str">
        <v>Ecology</v>
      </c>
      <c r="R88" t="str">
        <f>IFERROR(VLOOKUP($I88,[1]DB2!$F$2:$I$58,2,0),"옛날 부서명 확인")</f>
        <v xml:space="preserve">Natural Environment Division </v>
      </c>
      <c r="S88" t="str">
        <f>IFERROR(VLOOKUP($I88,[1]DB2!$F$2:$I$58,4,0),"옛날 부서명 확인")</f>
        <v xml:space="preserve">Land and Environment Research Group </v>
      </c>
    </row>
    <row r="89">
      <c r="A89" t="str">
        <v>103</v>
      </c>
      <c r="B89" t="str">
        <v>수탁과제</v>
      </c>
      <c r="C89" t="str">
        <v>2025-019(R)</v>
      </c>
      <c r="D89" t="str">
        <v>해양산업시설 배출 위험유해물질 영향평가 및 관리기술 개발(5차년도)</v>
      </c>
      <c r="F89" t="str">
        <v>10227</v>
      </c>
      <c r="G89" t="str">
        <v>김태윤</v>
      </c>
      <c r="H89" t="str">
        <v>202508165</v>
      </c>
      <c r="I89" t="str">
        <v>기후에너지평가실</v>
      </c>
      <c r="J89">
        <v>110000000</v>
      </c>
      <c r="K89" s="1" t="d">
        <v>2024-12-31T23:59:08.000Z</v>
      </c>
      <c r="L89" s="1" t="d">
        <v>2025-12-30T23:59:08.000Z</v>
      </c>
      <c r="M89" t="str">
        <v>해양수산과학기술진흥원</v>
      </c>
      <c r="N89" t="str">
        <v>Developing Impact Assessment and Management Technologies for Hazardous Emissions from Marine Industrial Facilities (Year 5)</v>
      </c>
      <c r="O89" t="str">
        <f>IFERROR(VLOOKUP($G89,[1]DB2!$A:$B,2,0),"공동과책 확인")</f>
        <v>Kim, Taeyun</v>
      </c>
      <c r="P89" t="str">
        <v>Environmental Assessment</v>
      </c>
      <c r="Q89" t="str">
        <v>Marine Environment</v>
      </c>
      <c r="R89" t="str">
        <f>IFERROR(VLOOKUP($I89,[1]DB2!$F$2:$I$58,2,0),"옛날 부서명 확인")</f>
        <v xml:space="preserve">Climate and Energy Assessment Division </v>
      </c>
      <c r="S89" t="str">
        <f>IFERROR(VLOOKUP($I89,[1]DB2!$F$2:$I$58,4,0),"옛날 부서명 확인")</f>
        <v xml:space="preserve">Environmental Assessment Group </v>
      </c>
    </row>
    <row r="90">
      <c r="A90" t="str">
        <v>104</v>
      </c>
      <c r="B90" t="str">
        <v>수탁과제</v>
      </c>
      <c r="C90" t="str">
        <v>2025-020(R)</v>
      </c>
      <c r="D90" t="str">
        <v>관측기반 온실가스 공간정보지도 구축 플랫폼 기술개발(3차년도)</v>
      </c>
      <c r="F90" t="str">
        <v>10260</v>
      </c>
      <c r="G90" t="str">
        <v>이승민</v>
      </c>
      <c r="H90" t="str">
        <v>202508187</v>
      </c>
      <c r="I90" t="str">
        <v>대기환경연구실</v>
      </c>
      <c r="J90">
        <v>160000000</v>
      </c>
      <c r="K90" s="1" t="d">
        <v>2024-12-31T23:59:08.000Z</v>
      </c>
      <c r="L90" s="1" t="d">
        <v>2025-12-30T23:59:08.000Z</v>
      </c>
      <c r="M90" t="str">
        <v xml:space="preserve">한국환경산업기술원 </v>
      </c>
      <c r="N90" t="str">
        <v>Developing Technologies to Build an Observation-Based GHG Spatial Information Mapping Platform (Year 3)</v>
      </c>
      <c r="O90" t="str">
        <f>IFERROR(VLOOKUP($G90,[1]DB2!$A:$B,2,0),"공동과책 확인")</f>
        <v>Lee, Seungmin</v>
      </c>
      <c r="P90" t="str">
        <v>Carbon Neutrality and Energy</v>
      </c>
      <c r="Q90" t="str">
        <v>AI and Environmental Informatics</v>
      </c>
      <c r="R90" t="str">
        <f>IFERROR(VLOOKUP($I90,[1]DB2!$F$2:$I$58,2,0),"옛날 부서명 확인")</f>
        <v>Atmospheric Environment Division</v>
      </c>
      <c r="S90" t="str">
        <f>IFERROR(VLOOKUP($I90,[1]DB2!$F$2:$I$58,4,0),"옛날 부서명 확인")</f>
        <v xml:space="preserve">Climate and Atmospheric Strategy Research Group  </v>
      </c>
    </row>
    <row r="91">
      <c r="A91" t="str">
        <v>105</v>
      </c>
      <c r="B91" t="str">
        <v>수탁과제</v>
      </c>
      <c r="C91" t="str">
        <v>2025-021(R)</v>
      </c>
      <c r="D91" t="str">
        <v>지역 맞춤형 초미세먼지 관리체계 개발(6차년도)</v>
      </c>
      <c r="F91" t="str">
        <v>50021</v>
      </c>
      <c r="G91" t="str">
        <v>공성용</v>
      </c>
      <c r="H91" t="str">
        <v>201902187</v>
      </c>
      <c r="I91" t="str">
        <v>대기환경연구실</v>
      </c>
      <c r="J91">
        <v>15000000</v>
      </c>
      <c r="K91" s="1" t="d">
        <v>2024-12-31T23:59:08.000Z</v>
      </c>
      <c r="L91" s="1" t="d">
        <v>2025-03-30T23:59:08.000Z</v>
      </c>
      <c r="M91" t="str">
        <v>한국연구재단</v>
      </c>
      <c r="N91" t="str">
        <v>Developing a Customized Regional PM2.5 Management System (Year 6)</v>
      </c>
      <c r="O91" t="str">
        <f>IFERROR(VLOOKUP($G91,[1]DB2!$A:$B,2,0),"공동과책 확인")</f>
        <v>Gong, Sungyong</v>
      </c>
      <c r="P91" t="str">
        <v>Atmospheric Environment</v>
      </c>
      <c r="R91" t="str">
        <f>IFERROR(VLOOKUP($I91,[1]DB2!$F$2:$I$58,2,0),"옛날 부서명 확인")</f>
        <v>Atmospheric Environment Division</v>
      </c>
      <c r="S91" t="str">
        <f>IFERROR(VLOOKUP($I91,[1]DB2!$F$2:$I$58,4,0),"옛날 부서명 확인")</f>
        <v xml:space="preserve">Climate and Atmospheric Strategy Research Group  </v>
      </c>
    </row>
    <row r="92">
      <c r="A92" t="str">
        <v>106</v>
      </c>
      <c r="B92" t="str">
        <v>수탁과제</v>
      </c>
      <c r="C92" t="str">
        <v>2025-027(R)</v>
      </c>
      <c r="D92" t="str">
        <v>탁수의 수생태 영향 평가 및 예측 기술 개발(5차년도)</v>
      </c>
      <c r="F92" t="str">
        <v>10356</v>
      </c>
      <c r="G92" t="str">
        <v>최미경</v>
      </c>
      <c r="H92" t="str">
        <v>202508190</v>
      </c>
      <c r="I92" t="str">
        <v>물관리연구실</v>
      </c>
      <c r="J92">
        <v>96000000</v>
      </c>
      <c r="K92" s="1" t="d">
        <v>2024-12-31T23:59:08.000Z</v>
      </c>
      <c r="L92" s="1" t="d">
        <v>2025-12-30T23:59:08.000Z</v>
      </c>
      <c r="M92" t="str">
        <v xml:space="preserve">한국환경산업기술원 </v>
      </c>
      <c r="N92" t="str">
        <v>Developing Technologies for Assessing and Predicting the Impacts of Turbidity on Aquatic Ecosystems (Year 5)</v>
      </c>
      <c r="O92" t="str">
        <f>IFERROR(VLOOKUP($G92,[1]DB2!$A:$B,2,0),"공동과책 확인")</f>
        <v>Choi, Mikyoung</v>
      </c>
      <c r="P92" t="str">
        <v>Water Management</v>
      </c>
      <c r="Q92" t="str">
        <v>Ecology</v>
      </c>
      <c r="R92" t="str">
        <f>IFERROR(VLOOKUP($I92,[1]DB2!$F$2:$I$58,2,0),"옛날 부서명 확인")</f>
        <v xml:space="preserve">Water Management Division </v>
      </c>
      <c r="S92" t="str">
        <f>IFERROR(VLOOKUP($I92,[1]DB2!$F$2:$I$58,4,0),"옛날 부서명 확인")</f>
        <v xml:space="preserve">Land and Environment Research Group </v>
      </c>
    </row>
    <row r="93">
      <c r="A93" t="str">
        <v>107</v>
      </c>
      <c r="B93" t="str">
        <v>수탁과제</v>
      </c>
      <c r="C93" t="str">
        <v>2025-028(R)</v>
      </c>
      <c r="D93" t="str">
        <v>유역환경변화를 고려한 생태유량 취약성 평가 및 수질-수문-수생태 연계기술 개발(6차년도)</v>
      </c>
      <c r="F93" t="str">
        <v>10205</v>
      </c>
      <c r="G93" t="str">
        <v>강형식</v>
      </c>
      <c r="H93" t="str">
        <v>202508182</v>
      </c>
      <c r="I93" t="str">
        <v>국토환경연구본부</v>
      </c>
      <c r="J93">
        <v>90000000</v>
      </c>
      <c r="K93" s="1" t="d">
        <v>2024-12-31T23:59:08.000Z</v>
      </c>
      <c r="L93" s="1" t="d">
        <v>2025-12-30T23:59:08.000Z</v>
      </c>
      <c r="M93" t="str">
        <v>한국환경산업기술원</v>
      </c>
      <c r="N93" t="str">
        <v>Developing Technologies for Assessing Environmental Flow Vulnerability and Integrating Water Quality, Hydrology, and Aquatic Ecology Considering Watershed Environmental Changes (Year 6)</v>
      </c>
      <c r="O93" t="str">
        <f>IFERROR(VLOOKUP($G93,[1]DB2!$A:$B,2,0),"공동과책 확인")</f>
        <v>Kang, Hyeongsik</v>
      </c>
      <c r="P93" t="str">
        <v>Water Management</v>
      </c>
      <c r="Q93" t="str">
        <v>Ecology</v>
      </c>
      <c r="R93" t="str">
        <f>IFERROR(VLOOKUP($I93,[1]DB2!$F$2:$I$58,2,0),"옛날 부서명 확인")</f>
        <v xml:space="preserve">Land and Environment Research Group </v>
      </c>
      <c r="S93" t="str">
        <f>IFERROR(VLOOKUP($I93,[1]DB2!$F$2:$I$58,4,0),"옛날 부서명 확인")</f>
        <v xml:space="preserve">Land and Environment Research Group </v>
      </c>
    </row>
    <row r="94">
      <c r="A94" t="str">
        <v>108</v>
      </c>
      <c r="B94" t="str">
        <v>수탁과제</v>
      </c>
      <c r="C94" t="str">
        <v>2025-030(R)</v>
      </c>
      <c r="D94" t="str">
        <v>글로벌 탄소중립 선도도시 도약을 위한 해수이용 친환경 에너지저장 핵심기술개발(4차년도)</v>
      </c>
      <c r="F94" t="str">
        <v>10166</v>
      </c>
      <c r="G94" t="str">
        <v>조한나</v>
      </c>
      <c r="H94" t="str">
        <v>202508123</v>
      </c>
      <c r="I94" t="str">
        <v>기후적응협력실</v>
      </c>
      <c r="J94">
        <v>100000000</v>
      </c>
      <c r="K94" s="1" t="d">
        <v>2024-12-31T23:59:08.000Z</v>
      </c>
      <c r="L94" s="1" t="d">
        <v>2025-12-30T23:59:08.000Z</v>
      </c>
      <c r="M94" t="str">
        <v>연구개발특구진흥재단</v>
      </c>
      <c r="N94" t="str">
        <v>Development of Core Technologies for Eco-Friendly Seawater-Based Energy Storage to Advance Leading Global Carbon-Neutral Cities (Year 4)</v>
      </c>
      <c r="O94" t="str">
        <f>IFERROR(VLOOKUP($G94,[1]DB2!$A:$B,2,0),"공동과책 확인")</f>
        <v>Cho, Hanna</v>
      </c>
      <c r="P94" t="str">
        <v>Carbon Neutrality and Energy</v>
      </c>
      <c r="Q94" t="str">
        <v>Marine Environment</v>
      </c>
      <c r="R94" t="str">
        <f>IFERROR(VLOOKUP($I94,[1]DB2!$F$2:$I$58,2,0),"옛날 부서명 확인")</f>
        <v xml:space="preserve">Climate Adaptation Cooperation Division </v>
      </c>
      <c r="S94" t="str">
        <f>IFERROR(VLOOKUP($I94,[1]DB2!$F$2:$I$58,4,0),"옛날 부서명 확인")</f>
        <v xml:space="preserve">Korea Adaptation Center for Climate Change </v>
      </c>
    </row>
    <row r="95">
      <c r="A95" t="str">
        <v>109</v>
      </c>
      <c r="B95" t="str">
        <v>수탁과제</v>
      </c>
      <c r="C95" t="str">
        <v>2025-031(R)</v>
      </c>
      <c r="D95" t="str">
        <v>하천의 물리적 환경변화 고려 하천종단 수자원시설의 치수안전도 평가 기술개발(2차년도)</v>
      </c>
      <c r="F95" t="str">
        <v>10205</v>
      </c>
      <c r="G95" t="str">
        <v>강형식</v>
      </c>
      <c r="H95" t="str">
        <v>202508182</v>
      </c>
      <c r="I95" t="str">
        <v>국토환경연구본부</v>
      </c>
      <c r="J95">
        <v>154600000</v>
      </c>
      <c r="K95" s="1" t="d">
        <v>2024-12-31T23:59:08.000Z</v>
      </c>
      <c r="L95" s="1" t="d">
        <v>2025-12-30T23:59:08.000Z</v>
      </c>
      <c r="M95" t="str">
        <v>한국환경산업기술원</v>
      </c>
      <c r="N95" t="str">
        <v>Development of Technologies for Assessing Flood Safety of Longitudinal River Water Infrastructure Considering Physical Changes in River Environments (Year 2)</v>
      </c>
      <c r="O95" t="str">
        <f>IFERROR(VLOOKUP($G95,[1]DB2!$A:$B,2,0),"공동과책 확인")</f>
        <v>Kang, Hyeongsik</v>
      </c>
      <c r="P95" t="str">
        <v>Water Management</v>
      </c>
      <c r="Q95" t="str">
        <v>Climate Adaptation</v>
      </c>
      <c r="R95" t="str">
        <f>IFERROR(VLOOKUP($I95,[1]DB2!$F$2:$I$58,2,0),"옛날 부서명 확인")</f>
        <v xml:space="preserve">Land and Environment Research Group </v>
      </c>
      <c r="S95" t="str">
        <f>IFERROR(VLOOKUP($I95,[1]DB2!$F$2:$I$58,4,0),"옛날 부서명 확인")</f>
        <v xml:space="preserve">Land and Environment Research Group </v>
      </c>
    </row>
    <row r="96">
      <c r="A96" t="str">
        <v>110</v>
      </c>
      <c r="B96" t="str">
        <v>수탁과제</v>
      </c>
      <c r="C96" t="str">
        <v>2025-032(R)</v>
      </c>
      <c r="D96" t="str">
        <v>기후변화 대응을 위한 농축산부문 2030 NDC 온실가스 감축 이행 평가(2차년도)</v>
      </c>
      <c r="F96" t="str">
        <v>10185</v>
      </c>
      <c r="G96" t="str">
        <v>명수정</v>
      </c>
      <c r="H96" t="str">
        <v>202508192</v>
      </c>
      <c r="I96" t="str">
        <v>자연환경연구실</v>
      </c>
      <c r="J96">
        <v>58000000</v>
      </c>
      <c r="K96" s="1" t="d">
        <v>2024-12-31T23:59:08.000Z</v>
      </c>
      <c r="L96" s="1" t="d">
        <v>2025-12-30T23:59:08.000Z</v>
      </c>
      <c r="M96" t="str">
        <v>농촌진흥청</v>
      </c>
      <c r="N96" t="str">
        <v>Evaluation of Greenhouse Gas Reduction under the 2030 NDC in the Agriculture and Livestock Sector (Year 2)</v>
      </c>
      <c r="O96" t="str">
        <f>IFERROR(VLOOKUP($G96,[1]DB2!$A:$B,2,0),"공동과책 확인")</f>
        <v>Myeong, Soojeong</v>
      </c>
      <c r="P96" t="str">
        <v>Carbon Neutrality and Energy</v>
      </c>
      <c r="Q96" t="str">
        <v>Climate Adaptation</v>
      </c>
      <c r="R96" t="str">
        <f>IFERROR(VLOOKUP($I96,[1]DB2!$F$2:$I$58,2,0),"옛날 부서명 확인")</f>
        <v xml:space="preserve">Natural Environment Division </v>
      </c>
      <c r="S96" t="str">
        <f>IFERROR(VLOOKUP($I96,[1]DB2!$F$2:$I$58,4,0),"옛날 부서명 확인")</f>
        <v xml:space="preserve">Land and Environment Research Group </v>
      </c>
    </row>
    <row r="97">
      <c r="A97" t="str">
        <v>111</v>
      </c>
      <c r="B97" t="str">
        <v>수탁과제</v>
      </c>
      <c r="C97" t="str">
        <v>2025-056(R)</v>
      </c>
      <c r="D97" t="str">
        <v>해양환경 잔류성 오염물질 관리기술 개발(2차년도)</v>
      </c>
      <c r="F97" t="str">
        <v>10297</v>
      </c>
      <c r="G97" t="str">
        <v>정다운</v>
      </c>
      <c r="H97" t="str">
        <v>202508119</v>
      </c>
      <c r="I97" t="str">
        <v>환경보건연구실</v>
      </c>
      <c r="J97">
        <v>50000000</v>
      </c>
      <c r="K97" s="1" t="d">
        <v>2024-12-31T23:59:08.000Z</v>
      </c>
      <c r="L97" s="1" t="d">
        <v>2025-12-30T23:59:08.000Z</v>
      </c>
      <c r="M97" t="str">
        <v>해양수산과학기술진흥원</v>
      </c>
      <c r="N97" t="str">
        <v>Development of Management Technologies for Persistent Pollutants in the Marine Environment (Year 2)</v>
      </c>
      <c r="O97" t="str">
        <f>IFERROR(VLOOKUP($G97,[1]DB2!$A:$B,2,0),"공동과책 확인")</f>
        <v xml:space="preserve">Jung, Dawoon </v>
      </c>
      <c r="P97" t="str">
        <v>Marine Environment</v>
      </c>
      <c r="Q97" t="str">
        <v>Environmental Health</v>
      </c>
      <c r="R97" t="str">
        <f>IFERROR(VLOOKUP($I97,[1]DB2!$F$2:$I$58,2,0),"옛날 부서명 확인")</f>
        <v xml:space="preserve">Environmental Health Division </v>
      </c>
      <c r="S97" t="str">
        <f>IFERROR(VLOOKUP($I97,[1]DB2!$F$2:$I$58,4,0),"옛날 부서명 확인")</f>
        <v xml:space="preserve">Sustainable Development Research Group  </v>
      </c>
    </row>
    <row r="98">
      <c r="A98" t="str">
        <v>125</v>
      </c>
      <c r="B98" t="str">
        <v>일반사업</v>
      </c>
      <c r="C98" t="str">
        <v>GP2025-07</v>
      </c>
      <c r="D98" t="str">
        <v>국내 ESG 고도화 및 환경규제 효율화 연구</v>
      </c>
      <c r="F98" t="str">
        <v>10173</v>
      </c>
      <c r="G98" t="str">
        <v>김호석</v>
      </c>
      <c r="H98" t="str">
        <v>202508204</v>
      </c>
      <c r="I98" t="str">
        <v>순환경제연구실</v>
      </c>
      <c r="J98">
        <v>100906000</v>
      </c>
      <c r="K98" s="1" t="d">
        <v>2024-12-31T23:59:08.000Z</v>
      </c>
      <c r="L98" s="1" t="d">
        <v>2025-12-30T23:59:08.000Z</v>
      </c>
      <c r="N98" t="str">
        <v xml:space="preserve">Advancing ESG Practices and Enhancing Environmental Regulation Efficiency in Korea </v>
      </c>
      <c r="O98" t="str">
        <f>IFERROR(VLOOKUP($G98,[1]DB2!$A:$B,2,0),"공동과책 확인")</f>
        <v>Kim, Hoseok</v>
      </c>
      <c r="P98" t="str">
        <v>Environmental Economics</v>
      </c>
      <c r="Q98" t="str">
        <v>Socio-Environmental Interface</v>
      </c>
      <c r="R98" t="str">
        <f>IFERROR(VLOOKUP($I98,[1]DB2!$F$2:$I$58,2,0),"옛날 부서명 확인")</f>
        <v xml:space="preserve">Circular Economy Division </v>
      </c>
      <c r="S98" t="str">
        <f>IFERROR(VLOOKUP($I98,[1]DB2!$F$2:$I$58,4,0),"옛날 부서명 확인")</f>
        <v xml:space="preserve">Sustainable Development Research Group  </v>
      </c>
    </row>
    <row r="99">
      <c r="A99" t="str">
        <v>136</v>
      </c>
      <c r="B99" t="str">
        <v>기본과제</v>
      </c>
      <c r="C99" t="str">
        <v>RE2025-01</v>
      </c>
      <c r="D99" t="str">
        <v>생활 속 인간-야생생물 갈등 관리 개선 방안 연구</v>
      </c>
      <c r="F99" t="str">
        <v>10164</v>
      </c>
      <c r="G99" t="str">
        <v>홍현정</v>
      </c>
      <c r="H99" t="str">
        <v>202508192</v>
      </c>
      <c r="I99" t="str">
        <v>자연환경연구실</v>
      </c>
      <c r="J99">
        <v>45000000</v>
      </c>
      <c r="K99" s="1" t="d">
        <v>2024-12-31T23:59:08.000Z</v>
      </c>
      <c r="L99" s="1" t="d">
        <v>2025-10-30T23:59:08.000Z</v>
      </c>
      <c r="N99" t="str">
        <v>Policy Improvements for Managing Human–Wildlife Conflicts in Daily Life</v>
      </c>
      <c r="O99" t="str">
        <f>IFERROR(VLOOKUP($G99,[1]DB2!$A:$B,2,0),"공동과책 확인")</f>
        <v>Hong, Hyunjung</v>
      </c>
      <c r="P99" t="str">
        <v>Ecology</v>
      </c>
      <c r="Q99" t="str">
        <v>Socio-Environmental Interface</v>
      </c>
      <c r="R99" t="str">
        <f>IFERROR(VLOOKUP($I99,[1]DB2!$F$2:$I$58,2,0),"옛날 부서명 확인")</f>
        <v xml:space="preserve">Natural Environment Division </v>
      </c>
      <c r="S99" t="str">
        <f>IFERROR(VLOOKUP($I99,[1]DB2!$F$2:$I$58,4,0),"옛날 부서명 확인")</f>
        <v xml:space="preserve">Land and Environment Research Group </v>
      </c>
    </row>
    <row r="100">
      <c r="A100" t="str">
        <v>137</v>
      </c>
      <c r="B100" t="str">
        <v>기본과제</v>
      </c>
      <c r="C100" t="str">
        <v>RE2025-02</v>
      </c>
      <c r="D100" t="str">
        <v>해상풍력 확대를 위한 해저케이블 제도정비방안</v>
      </c>
      <c r="F100" t="str">
        <v>10321</v>
      </c>
      <c r="G100" t="str">
        <v>이재혁</v>
      </c>
      <c r="H100" t="str">
        <v>202508189</v>
      </c>
      <c r="I100" t="str">
        <v>생활환경사회연구실</v>
      </c>
      <c r="J100">
        <v>30000000</v>
      </c>
      <c r="K100" s="1" t="d">
        <v>2024-12-31T23:59:08.000Z</v>
      </c>
      <c r="L100" s="1" t="d">
        <v>2025-10-30T23:59:08.000Z</v>
      </c>
      <c r="N100" t="str">
        <v>Policy Reforms for Submarine Cables to Support Offshore Wind Expansion</v>
      </c>
      <c r="O100" t="str">
        <f>IFERROR(VLOOKUP($G100,[1]DB2!$A:$B,2,0),"공동과책 확인")</f>
        <v>Lee, Jae-hyuck</v>
      </c>
      <c r="P100" t="str">
        <v>Carbon Neutrality and Energy</v>
      </c>
      <c r="Q100" t="str">
        <v>Marine Environment</v>
      </c>
      <c r="R100" t="str">
        <f>IFERROR(VLOOKUP($I100,[1]DB2!$F$2:$I$58,2,0),"옛날 부서명 확인")</f>
        <v xml:space="preserve">Living Environment and Society Division </v>
      </c>
      <c r="S100" t="str">
        <f>IFERROR(VLOOKUP($I100,[1]DB2!$F$2:$I$58,4,0),"옛날 부서명 확인")</f>
        <v xml:space="preserve">Sustainable Development Research Group  </v>
      </c>
    </row>
    <row r="101">
      <c r="A101" t="str">
        <v>138</v>
      </c>
      <c r="B101" t="str">
        <v>기본과제</v>
      </c>
      <c r="C101" t="str">
        <v>RE2025-03</v>
      </c>
      <c r="D101" t="str">
        <v>기후변화영향평가의 실효성 확보를 위한 사후관리 방안 연구 - 도시개발사업의 협의내용 이행·관리 방안을 중심으로</v>
      </c>
      <c r="F101" t="str">
        <v>10275</v>
      </c>
      <c r="G101" t="str">
        <v>김유미</v>
      </c>
      <c r="H101" t="str">
        <v>202508165</v>
      </c>
      <c r="I101" t="str">
        <v>기후에너지평가실</v>
      </c>
      <c r="J101">
        <v>30000000</v>
      </c>
      <c r="K101" s="1" t="d">
        <v>2024-12-31T23:59:08.000Z</v>
      </c>
      <c r="L101" s="1" t="d">
        <v>2025-10-30T23:59:08.000Z</v>
      </c>
      <c r="N101" t="str">
        <v>Follow-up Measures for Effective Climate Change Impact Assessment: Implementation and Oversight of Agreements in Urban Development Projects</v>
      </c>
      <c r="O101" t="str">
        <f>IFERROR(VLOOKUP($G101,[1]DB2!$A:$B,2,0),"공동과책 확인")</f>
        <v>Kim, Yumi</v>
      </c>
      <c r="P101" t="str">
        <v>Environmental Assessment</v>
      </c>
      <c r="Q101" t="str">
        <v>Climate Adaptation</v>
      </c>
      <c r="R101" t="str">
        <f>IFERROR(VLOOKUP($I101,[1]DB2!$F$2:$I$58,2,0),"옛날 부서명 확인")</f>
        <v xml:space="preserve">Climate and Energy Assessment Division </v>
      </c>
      <c r="S101" t="str">
        <f>IFERROR(VLOOKUP($I101,[1]DB2!$F$2:$I$58,4,0),"옛날 부서명 확인")</f>
        <v xml:space="preserve">Environmental Assessment Group </v>
      </c>
    </row>
    <row r="102">
      <c r="A102" t="str">
        <v>139</v>
      </c>
      <c r="B102" t="str">
        <v>기본과제</v>
      </c>
      <c r="C102" t="str">
        <v>RE2025-04</v>
      </c>
      <c r="D102" t="str">
        <v>지역 여건을 고려한 기후탄력성 개선구역 설정 및 관리방안</v>
      </c>
      <c r="F102" t="str">
        <v>10253</v>
      </c>
      <c r="G102" t="str">
        <v>김태현</v>
      </c>
      <c r="H102" t="str">
        <v>202508205</v>
      </c>
      <c r="I102" t="str">
        <v>국토관리연구실</v>
      </c>
      <c r="J102">
        <v>45000000</v>
      </c>
      <c r="K102" s="1" t="d">
        <v>2024-12-31T23:59:08.000Z</v>
      </c>
      <c r="L102" s="1" t="d">
        <v>2025-10-30T23:59:08.000Z</v>
      </c>
      <c r="N102" t="str">
        <v>Designation and Management of Climate Resilience Improvement Zones Based on Local Conditions</v>
      </c>
      <c r="O102" t="str">
        <f>IFERROR(VLOOKUP($G102,[1]DB2!$A:$B,2,0),"공동과책 확인")</f>
        <v xml:space="preserve">Kim, Taehyun </v>
      </c>
      <c r="P102" t="str">
        <v>Climate Adaptation</v>
      </c>
      <c r="Q102" t="str">
        <v>Land and Urban Environment</v>
      </c>
      <c r="R102" t="str">
        <f>IFERROR(VLOOKUP($I102,[1]DB2!$F$2:$I$58,2,0),"옛날 부서명 확인")</f>
        <v>Spatial Planning and Management Division</v>
      </c>
      <c r="S102" t="str">
        <f>IFERROR(VLOOKUP($I102,[1]DB2!$F$2:$I$58,4,0),"옛날 부서명 확인")</f>
        <v xml:space="preserve">Land and Environment Research Group </v>
      </c>
    </row>
    <row r="103">
      <c r="A103" t="str">
        <v>140</v>
      </c>
      <c r="B103" t="str">
        <v>기본과제</v>
      </c>
      <c r="C103" t="str">
        <v>RE2025-05</v>
      </c>
      <c r="D103" t="str">
        <v>물환경 개선을 위한 점오염원 수준의 도시지역 하수월류수 및 강우유출수 관리 전략</v>
      </c>
      <c r="F103" t="str">
        <v>10214</v>
      </c>
      <c r="G103" t="str">
        <v>김호정</v>
      </c>
      <c r="H103" t="str">
        <v>202508190</v>
      </c>
      <c r="I103" t="str">
        <v>물관리연구실</v>
      </c>
      <c r="J103">
        <v>45015000</v>
      </c>
      <c r="K103" s="1" t="d">
        <v>2024-12-31T23:59:08.000Z</v>
      </c>
      <c r="L103" s="1" t="d">
        <v>2025-10-30T23:59:08.000Z</v>
      </c>
      <c r="N103" t="str">
        <v>Management Strategies for Urban Sewage Overflow and Stormwater Runoff at Point Source Levels to Improve the Aquatic Environment</v>
      </c>
      <c r="O103" t="str">
        <f>IFERROR(VLOOKUP($G103,[1]DB2!$A:$B,2,0),"공동과책 확인")</f>
        <v>Kim, Hojeong</v>
      </c>
      <c r="P103" t="str">
        <v>Water Management</v>
      </c>
      <c r="Q103" t="str">
        <v>Land and Urban Environment</v>
      </c>
      <c r="R103" t="str">
        <f>IFERROR(VLOOKUP($I103,[1]DB2!$F$2:$I$58,2,0),"옛날 부서명 확인")</f>
        <v xml:space="preserve">Water Management Division </v>
      </c>
      <c r="S103" t="str">
        <f>IFERROR(VLOOKUP($I103,[1]DB2!$F$2:$I$58,4,0),"옛날 부서명 확인")</f>
        <v xml:space="preserve">Land and Environment Research Group </v>
      </c>
    </row>
    <row r="104">
      <c r="A104" t="str">
        <v>141</v>
      </c>
      <c r="B104" t="str">
        <v>기본과제</v>
      </c>
      <c r="C104" t="str">
        <v>RE2025-06</v>
      </c>
      <c r="D104" t="str">
        <v>기후위기 대응 물관리 재정추계 방안 마련 연구</v>
      </c>
      <c r="F104" t="str">
        <v>10203</v>
      </c>
      <c r="G104" t="str">
        <v>한혜진</v>
      </c>
      <c r="H104" t="str">
        <v>202508190</v>
      </c>
      <c r="I104" t="str">
        <v>물관리연구실</v>
      </c>
      <c r="J104">
        <v>30000000</v>
      </c>
      <c r="K104" s="1" t="d">
        <v>2024-12-31T23:59:08.000Z</v>
      </c>
      <c r="L104" s="1" t="d">
        <v>2025-12-30T23:59:08.000Z</v>
      </c>
      <c r="N104" t="str">
        <v>Developing Fiscal Estimation Methods for Climate Crisis-Responsive Water Management</v>
      </c>
      <c r="O104" t="str">
        <f>IFERROR(VLOOKUP($G104,[1]DB2!$A:$B,2,0),"공동과책 확인")</f>
        <v>Han, Haejin</v>
      </c>
      <c r="P104" t="str">
        <v>Water Management</v>
      </c>
      <c r="Q104" t="str">
        <v>Environmental Economics</v>
      </c>
      <c r="R104" t="str">
        <f>IFERROR(VLOOKUP($I104,[1]DB2!$F$2:$I$58,2,0),"옛날 부서명 확인")</f>
        <v xml:space="preserve">Water Management Division </v>
      </c>
      <c r="S104" t="str">
        <f>IFERROR(VLOOKUP($I104,[1]DB2!$F$2:$I$58,4,0),"옛날 부서명 확인")</f>
        <v xml:space="preserve">Land and Environment Research Group </v>
      </c>
    </row>
    <row r="105">
      <c r="A105" t="str">
        <v>142</v>
      </c>
      <c r="B105" t="str">
        <v>기본과제</v>
      </c>
      <c r="C105" t="str">
        <v>RE2025-07</v>
      </c>
      <c r="D105" t="str">
        <v>개발사업 계획과 시행의 연속성 확보를 위한 환경영향평가 제도 개선방안: 1차년도 면적 개발사업</v>
      </c>
      <c r="F105" t="str">
        <v>10152</v>
      </c>
      <c r="G105" t="str">
        <v>이상범</v>
      </c>
      <c r="H105" t="str">
        <v>202508102</v>
      </c>
      <c r="I105" t="str">
        <v>환경평가본부</v>
      </c>
      <c r="J105">
        <v>45000000</v>
      </c>
      <c r="K105" s="1" t="d">
        <v>2024-12-31T23:59:08.000Z</v>
      </c>
      <c r="L105" s="1" t="d">
        <v>2025-10-30T23:59:08.000Z</v>
      </c>
      <c r="N105" t="str">
        <v>Improving the Environmental Impact Assessment System to Ensure Continuity Between Development Planning and Implementation: Area Development Project</v>
      </c>
      <c r="O105" t="str">
        <f>IFERROR(VLOOKUP($G105,[1]DB2!$A:$B,2,0),"공동과책 확인")</f>
        <v>Lee, Sangbum</v>
      </c>
      <c r="P105" t="str">
        <v>Environmental Assessment</v>
      </c>
      <c r="Q105" t="str">
        <v>Land and Urban Environment</v>
      </c>
      <c r="R105" t="str">
        <f>IFERROR(VLOOKUP($I105,[1]DB2!$F$2:$I$58,2,0),"옛날 부서명 확인")</f>
        <v xml:space="preserve">Environmental Assessment Group </v>
      </c>
      <c r="S105" t="str">
        <f>IFERROR(VLOOKUP($I105,[1]DB2!$F$2:$I$58,4,0),"옛날 부서명 확인")</f>
        <v xml:space="preserve">Environmental Assessment Group </v>
      </c>
    </row>
    <row r="106">
      <c r="A106" t="str">
        <v>143</v>
      </c>
      <c r="B106" t="str">
        <v>기본과제</v>
      </c>
      <c r="C106" t="str">
        <v>RE2025-08</v>
      </c>
      <c r="D106" t="str">
        <v>기후위기 대응을 위한 거버넌스체계 연구: 주요국 사례분석을 중심으로</v>
      </c>
      <c r="F106" t="str">
        <v>10220</v>
      </c>
      <c r="G106" t="str">
        <v>정우현</v>
      </c>
      <c r="H106" t="str">
        <v>202508189</v>
      </c>
      <c r="I106" t="str">
        <v>생활환경사회연구실</v>
      </c>
      <c r="J106">
        <v>30000000</v>
      </c>
      <c r="K106" s="1" t="d">
        <v>2024-12-31T23:59:08.000Z</v>
      </c>
      <c r="L106" s="1" t="d">
        <v>2025-12-30T23:59:08.000Z</v>
      </c>
      <c r="N106" t="str">
        <v xml:space="preserve">National Climate Governance Models: With Case Studies of Selected Countries </v>
      </c>
      <c r="O106" t="str">
        <f>IFERROR(VLOOKUP($G106,[1]DB2!$A:$B,2,0),"공동과책 확인")</f>
        <v>Chung, Woo Hyun</v>
      </c>
      <c r="P106" t="str">
        <v>Carbon Neutrality and Energy</v>
      </c>
      <c r="Q106" t="str">
        <v>Socio-Environmental Interface</v>
      </c>
      <c r="R106" t="str">
        <f>IFERROR(VLOOKUP($I106,[1]DB2!$F$2:$I$58,2,0),"옛날 부서명 확인")</f>
        <v xml:space="preserve">Living Environment and Society Division </v>
      </c>
      <c r="S106" t="str">
        <f>IFERROR(VLOOKUP($I106,[1]DB2!$F$2:$I$58,4,0),"옛날 부서명 확인")</f>
        <v xml:space="preserve">Sustainable Development Research Group  </v>
      </c>
    </row>
    <row r="107">
      <c r="A107" t="str">
        <v>144</v>
      </c>
      <c r="B107" t="str">
        <v>기본과제</v>
      </c>
      <c r="C107" t="str">
        <v>RE2025-09</v>
      </c>
      <c r="D107" t="str">
        <v>잔류성유기오염물질 인체 및 환경기준 설정 방안 연구</v>
      </c>
      <c r="F107" t="str">
        <v>10297</v>
      </c>
      <c r="G107" t="str">
        <v>정다운,정윤선</v>
      </c>
      <c r="H107" t="str">
        <v>202508119</v>
      </c>
      <c r="I107" t="str">
        <v>환경보건연구실</v>
      </c>
      <c r="J107">
        <v>30000000</v>
      </c>
      <c r="K107" s="1" t="d">
        <v>2024-12-31T23:59:08.000Z</v>
      </c>
      <c r="L107" s="1" t="d">
        <v>2025-10-30T23:59:08.000Z</v>
      </c>
      <c r="N107" t="str">
        <v>Establishing Human Health and Environmental Standards for Persistent Organic Pollutants (POPs)</v>
      </c>
      <c r="O107" t="str">
        <v>Jung, Dawoon and Jeong, Yunsun</v>
      </c>
      <c r="P107" t="str">
        <v>Environmental Health</v>
      </c>
      <c r="R107" t="str">
        <f>IFERROR(VLOOKUP($I107,[1]DB2!$F$2:$I$58,2,0),"옛날 부서명 확인")</f>
        <v xml:space="preserve">Environmental Health Division </v>
      </c>
      <c r="S107" t="str">
        <f>IFERROR(VLOOKUP($I107,[1]DB2!$F$2:$I$58,4,0),"옛날 부서명 확인")</f>
        <v xml:space="preserve">Sustainable Development Research Group  </v>
      </c>
    </row>
    <row r="108">
      <c r="A108" t="str">
        <v>145</v>
      </c>
      <c r="B108" t="str">
        <v>기본과제</v>
      </c>
      <c r="C108" t="str">
        <v>RE2025-10</v>
      </c>
      <c r="D108" t="str">
        <v>시멘트 산업의 대기오염 관리 및 탄소중립 전략에 대한 통합적 개선방안 연구</v>
      </c>
      <c r="F108" t="str">
        <v>10260</v>
      </c>
      <c r="G108" t="str">
        <v>이승민</v>
      </c>
      <c r="H108" t="str">
        <v>202508187</v>
      </c>
      <c r="I108" t="str">
        <v>대기환경연구실</v>
      </c>
      <c r="J108">
        <v>30000000</v>
      </c>
      <c r="K108" s="1" t="d">
        <v>2024-12-31T23:59:08.000Z</v>
      </c>
      <c r="L108" s="1" t="d">
        <v>2025-10-30T23:59:08.000Z</v>
      </c>
      <c r="N108" t="str">
        <v>Integrated Improvement Strategies for Air Pollution Control and Carbon Neutrality in the Cement Industry</v>
      </c>
      <c r="O108" t="str">
        <f>IFERROR(VLOOKUP($G108,[1]DB2!$A:$B,2,0),"공동과책 확인")</f>
        <v>Lee, Seungmin</v>
      </c>
      <c r="P108" t="str">
        <v>Atmospheric Environment</v>
      </c>
      <c r="Q108" t="str">
        <v>Carbon Neutrality and Energy</v>
      </c>
      <c r="R108" t="str">
        <f>IFERROR(VLOOKUP($I108,[1]DB2!$F$2:$I$58,2,0),"옛날 부서명 확인")</f>
        <v>Atmospheric Environment Division</v>
      </c>
      <c r="S108" t="str">
        <f>IFERROR(VLOOKUP($I108,[1]DB2!$F$2:$I$58,4,0),"옛날 부서명 확인")</f>
        <v xml:space="preserve">Climate and Atmospheric Strategy Research Group  </v>
      </c>
    </row>
    <row r="109">
      <c r="A109" t="str">
        <v>146</v>
      </c>
      <c r="B109" t="str">
        <v>기본과제</v>
      </c>
      <c r="C109" t="str">
        <v>RE2025-11</v>
      </c>
      <c r="D109" t="str">
        <v>유역 물환경 개선을 위한 수변구역 관리제도 연구(I)</v>
      </c>
      <c r="F109" t="str">
        <v>10184</v>
      </c>
      <c r="G109" t="str">
        <v>김익재</v>
      </c>
      <c r="H109" t="str">
        <v>202508190</v>
      </c>
      <c r="I109" t="str">
        <v>물관리연구실</v>
      </c>
      <c r="J109">
        <v>30000000</v>
      </c>
      <c r="K109" s="1" t="d">
        <v>2024-12-31T23:59:08.000Z</v>
      </c>
      <c r="L109" s="1" t="d">
        <v>2025-12-30T23:59:08.000Z</v>
      </c>
      <c r="N109" t="str">
        <v>A Study on the Riparian Zone Management System for Watershed Water Environment Improvement (I)</v>
      </c>
      <c r="O109" t="str">
        <f>IFERROR(VLOOKUP($G109,[1]DB2!$A:$B,2,0),"공동과책 확인")</f>
        <v>Kim, Ikjae</v>
      </c>
      <c r="P109" t="str">
        <v>Water Management</v>
      </c>
      <c r="Q109" t="str">
        <v>Ecology</v>
      </c>
      <c r="R109" t="str">
        <f>IFERROR(VLOOKUP($I109,[1]DB2!$F$2:$I$58,2,0),"옛날 부서명 확인")</f>
        <v xml:space="preserve">Water Management Division </v>
      </c>
      <c r="S109" t="str">
        <f>IFERROR(VLOOKUP($I109,[1]DB2!$F$2:$I$58,4,0),"옛날 부서명 확인")</f>
        <v xml:space="preserve">Land and Environment Research Group </v>
      </c>
    </row>
    <row r="110">
      <c r="A110" t="str">
        <v>147</v>
      </c>
      <c r="B110" t="str">
        <v>기본과제</v>
      </c>
      <c r="C110" t="str">
        <v>RE2025-12</v>
      </c>
      <c r="D110" t="str">
        <v>「순환경제사회촉진법」 시행에 따른 폐기물 및 자원순환 통계 개선방안 연구</v>
      </c>
      <c r="F110" t="str">
        <v>10273</v>
      </c>
      <c r="G110" t="str">
        <v>이소라</v>
      </c>
      <c r="H110" t="str">
        <v>202508204</v>
      </c>
      <c r="I110" t="str">
        <v>순환경제연구실</v>
      </c>
      <c r="J110">
        <v>30000000</v>
      </c>
      <c r="K110" s="1" t="d">
        <v>2024-12-31T23:59:08.000Z</v>
      </c>
      <c r="L110" s="1" t="d">
        <v>2025-10-30T23:59:08.000Z</v>
      </c>
      <c r="N110" t="str">
        <v>Improving Waste and Resource Circulation Statistics in Response to the Implementation of the Act on the Promotion of Transition to Circular Economy and Society in Korea</v>
      </c>
      <c r="O110" t="str">
        <f>IFERROR(VLOOKUP($G110,[1]DB2!$A:$B,2,0),"공동과책 확인")</f>
        <v xml:space="preserve">Yi, Sora </v>
      </c>
      <c r="P110" t="str">
        <v>Circular Economy</v>
      </c>
      <c r="Q110" t="str">
        <v>Environmental Economics</v>
      </c>
      <c r="R110" t="str">
        <f>IFERROR(VLOOKUP($I110,[1]DB2!$F$2:$I$58,2,0),"옛날 부서명 확인")</f>
        <v xml:space="preserve">Circular Economy Division </v>
      </c>
      <c r="S110" t="str">
        <f>IFERROR(VLOOKUP($I110,[1]DB2!$F$2:$I$58,4,0),"옛날 부서명 확인")</f>
        <v xml:space="preserve">Sustainable Development Research Group  </v>
      </c>
    </row>
    <row r="111">
      <c r="A111" t="str">
        <v>148</v>
      </c>
      <c r="B111" t="str">
        <v>기본과제</v>
      </c>
      <c r="C111" t="str">
        <v>RE2025-13</v>
      </c>
      <c r="D111" t="str">
        <v>소규모 사업장의 방지시설 설치 및 IoT를 활용한 방지시설 관리 정책의 성과 및 개선방안</v>
      </c>
      <c r="F111" t="str">
        <v>10348</v>
      </c>
      <c r="G111" t="str">
        <v>한지현</v>
      </c>
      <c r="H111" t="str">
        <v>202508187</v>
      </c>
      <c r="I111" t="str">
        <v>대기환경연구실</v>
      </c>
      <c r="J111">
        <v>30000000</v>
      </c>
      <c r="K111" s="1" t="d">
        <v>2024-12-31T23:59:08.000Z</v>
      </c>
      <c r="L111" s="1" t="d">
        <v>2025-12-30T23:59:08.000Z</v>
      </c>
      <c r="N111" t="str">
        <v>Evaluation and Improvement of Policies on Air Pollution Control Facility Installation and IoT-Based Management for Small-Scale Businesses</v>
      </c>
      <c r="O111" t="str">
        <f>IFERROR(VLOOKUP($G111,[1]DB2!$A:$B,2,0),"공동과책 확인")</f>
        <v xml:space="preserve">Han, Jihyun </v>
      </c>
      <c r="P111" t="str">
        <v>Atmospheric Environment</v>
      </c>
      <c r="Q111" t="str">
        <v>AI and Environmental Informatics</v>
      </c>
      <c r="R111" t="str">
        <f>IFERROR(VLOOKUP($I111,[1]DB2!$F$2:$I$58,2,0),"옛날 부서명 확인")</f>
        <v>Atmospheric Environment Division</v>
      </c>
      <c r="S111" t="str">
        <f>IFERROR(VLOOKUP($I111,[1]DB2!$F$2:$I$58,4,0),"옛날 부서명 확인")</f>
        <v xml:space="preserve">Climate and Atmospheric Strategy Research Group  </v>
      </c>
    </row>
    <row r="112">
      <c r="A112" t="str">
        <v>149</v>
      </c>
      <c r="B112" t="str">
        <v>기본과제</v>
      </c>
      <c r="C112" t="str">
        <v>RE2025-14</v>
      </c>
      <c r="D112" t="str">
        <v>사회적 취약성 및 건강위험 기반 기후변화 적응전략 연구</v>
      </c>
      <c r="F112" t="str">
        <v>10236</v>
      </c>
      <c r="G112" t="str">
        <v>서양원,배현주</v>
      </c>
      <c r="H112" t="str">
        <v>202508178</v>
      </c>
      <c r="I112" t="str">
        <v>지속가능발전연구본부</v>
      </c>
      <c r="J112">
        <v>30000000</v>
      </c>
      <c r="K112" s="1" t="d">
        <v>2024-12-31T23:59:08.000Z</v>
      </c>
      <c r="L112" s="1" t="d">
        <v>2025-10-30T23:59:08.000Z</v>
      </c>
      <c r="N112" t="str">
        <v>Climate Change Adaptation Strategies Based on Social Vulnerability and Health Risks</v>
      </c>
      <c r="O112" t="str">
        <v>Suh, Yang-won and Bae, Hyun-Joo</v>
      </c>
      <c r="P112" t="str">
        <v>Environmental Health</v>
      </c>
      <c r="Q112" t="str">
        <v>Climate Adaptation</v>
      </c>
      <c r="R112" t="str">
        <f>IFERROR(VLOOKUP($I112,[1]DB2!$F$2:$I$58,2,0),"옛날 부서명 확인")</f>
        <v xml:space="preserve">Sustainable Development Research Group  </v>
      </c>
      <c r="S112" t="str">
        <f>IFERROR(VLOOKUP($I112,[1]DB2!$F$2:$I$58,4,0),"옛날 부서명 확인")</f>
        <v xml:space="preserve">Sustainable Development Research Group  </v>
      </c>
    </row>
    <row r="113">
      <c r="A113" t="str">
        <v>152</v>
      </c>
      <c r="B113" t="str">
        <v>기본과제</v>
      </c>
      <c r="C113" t="str">
        <v>RE2025-17</v>
      </c>
      <c r="D113" t="str">
        <v>기후대기 통합평가모형 개발 연구(Ⅲ)</v>
      </c>
      <c r="F113" t="str">
        <v>10327</v>
      </c>
      <c r="G113" t="str">
        <v>김성진</v>
      </c>
      <c r="H113" t="str">
        <v>202508197</v>
      </c>
      <c r="I113" t="str">
        <v>탄소중립연구실</v>
      </c>
      <c r="J113">
        <v>300276000</v>
      </c>
      <c r="K113" s="1" t="d">
        <v>2024-12-31T23:59:08.000Z</v>
      </c>
      <c r="L113" s="1" t="d">
        <v>2025-12-30T23:59:08.000Z</v>
      </c>
      <c r="N113" t="str">
        <v>Development of an Integrated Modeling Framework for Assessing Climate and Air Quality (III)</v>
      </c>
      <c r="O113" t="str">
        <f>IFERROR(VLOOKUP($G113,[1]DB2!$A:$B,2,0),"공동과책 확인")</f>
        <v>Kim, Sungjin</v>
      </c>
      <c r="P113" t="str">
        <v>Carbon Neutrality and Energy</v>
      </c>
      <c r="Q113" t="str">
        <v>Atmospheric Environment</v>
      </c>
      <c r="R113" t="str">
        <f>IFERROR(VLOOKUP($I113,[1]DB2!$F$2:$I$58,2,0),"옛날 부서명 확인")</f>
        <v xml:space="preserve">Carbon Neutrality Division </v>
      </c>
      <c r="S113" t="str">
        <f>IFERROR(VLOOKUP($I113,[1]DB2!$F$2:$I$58,4,0),"옛날 부서명 확인")</f>
        <v xml:space="preserve">Climate and Atmospheric Strategy Research Group  </v>
      </c>
    </row>
    <row r="114">
      <c r="A114" t="str">
        <v>163</v>
      </c>
      <c r="B114" t="str">
        <v>수탁과제</v>
      </c>
      <c r="C114" t="str">
        <v>2025-022</v>
      </c>
      <c r="D114" t="str">
        <v>섬진강 하류 재첩 서식환경 실증조사 연구(2차)</v>
      </c>
      <c r="F114" t="str">
        <v>10343</v>
      </c>
      <c r="G114" t="str">
        <v>백동해</v>
      </c>
      <c r="H114" t="str">
        <v>202508163</v>
      </c>
      <c r="I114" t="str">
        <v>국토전략평가실</v>
      </c>
      <c r="J114">
        <v>127272730</v>
      </c>
      <c r="K114" s="1" t="d">
        <v>2025-01-14T23:59:08.000Z</v>
      </c>
      <c r="L114" s="1" t="d">
        <v>2026-03-13T23:59:08.000Z</v>
      </c>
      <c r="M114" t="str">
        <v>영산강유역환경청</v>
      </c>
      <c r="N114" t="str">
        <v>Empirical Study on Corbicula japonica Habitats in the Lower Seomjin River (Phase 2)</v>
      </c>
      <c r="O114" t="str">
        <f>IFERROR(VLOOKUP($G114,[1]DB2!$A:$B,2,0),"공동과책 확인")</f>
        <v>Baek, Donghae</v>
      </c>
      <c r="P114" t="str">
        <v>Ecology</v>
      </c>
      <c r="Q114" t="str">
        <v>Water Management</v>
      </c>
      <c r="R114" t="str">
        <f>IFERROR(VLOOKUP($I114,[1]DB2!$F$2:$I$58,2,0),"옛날 부서명 확인")</f>
        <v xml:space="preserve">Land Strategy Assessment Division </v>
      </c>
      <c r="S114" t="str">
        <f>IFERROR(VLOOKUP($I114,[1]DB2!$F$2:$I$58,4,0),"옛날 부서명 확인")</f>
        <v xml:space="preserve">Environmental Assessment Group </v>
      </c>
    </row>
    <row r="115">
      <c r="A115" t="str">
        <v>164</v>
      </c>
      <c r="B115" t="str">
        <v>수탁과제</v>
      </c>
      <c r="C115" t="str">
        <v>2025-023</v>
      </c>
      <c r="D115" t="str">
        <v>제1차 국가물관리기본계획 2024년도 이행상황 평가</v>
      </c>
      <c r="F115" t="str">
        <v>10254</v>
      </c>
      <c r="G115" t="str">
        <v>류재나</v>
      </c>
      <c r="H115" t="str">
        <v>202508190</v>
      </c>
      <c r="I115" t="str">
        <v>물관리연구실</v>
      </c>
      <c r="J115">
        <v>98259300</v>
      </c>
      <c r="K115" s="1" t="d">
        <v>2025-01-16T23:59:08.000Z</v>
      </c>
      <c r="L115" s="1" t="d">
        <v>2025-11-10T23:59:08.000Z</v>
      </c>
      <c r="M115" t="str">
        <v>환경부</v>
      </c>
      <c r="N115" t="str">
        <v>2024 Progress Review of the First Master Plan for National Water Management</v>
      </c>
      <c r="O115" t="str">
        <f>IFERROR(VLOOKUP($G115,[1]DB2!$A:$B,2,0),"공동과책 확인")</f>
        <v>Ryu, Jaena</v>
      </c>
      <c r="P115" t="str">
        <v>Water Management</v>
      </c>
      <c r="Q115" t="str">
        <v>Land and Urban Environment</v>
      </c>
      <c r="R115" t="str">
        <f>IFERROR(VLOOKUP($I115,[1]DB2!$F$2:$I$58,2,0),"옛날 부서명 확인")</f>
        <v xml:space="preserve">Water Management Division </v>
      </c>
      <c r="S115" t="str">
        <f>IFERROR(VLOOKUP($I115,[1]DB2!$F$2:$I$58,4,0),"옛날 부서명 확인")</f>
        <v xml:space="preserve">Land and Environment Research Group </v>
      </c>
    </row>
    <row r="116">
      <c r="A116" t="str">
        <v>165</v>
      </c>
      <c r="B116" t="str">
        <v>수시과제</v>
      </c>
      <c r="C116" t="str">
        <v>WO2025-01</v>
      </c>
      <c r="D116" t="str">
        <v>순환경제를 위한 제품 ‘수리권’ 이행전략 수립 연구</v>
      </c>
      <c r="F116" t="str">
        <v>10221</v>
      </c>
      <c r="G116" t="str">
        <v>조지혜</v>
      </c>
      <c r="H116" t="str">
        <v>201902118</v>
      </c>
      <c r="I116" t="str">
        <v>순환경제연구실</v>
      </c>
      <c r="J116">
        <v>15000000</v>
      </c>
      <c r="K116" s="1" t="d">
        <v>2025-01-19T23:59:08.000Z</v>
      </c>
      <c r="L116" s="1" t="d">
        <v>2025-07-18T23:59:08.000Z</v>
      </c>
      <c r="N116" t="str">
        <v>Developing Implementation Strategies for the 'Right to Repair' to Promote a Circular Economy</v>
      </c>
      <c r="O116" t="str">
        <f>IFERROR(VLOOKUP($G116,[1]DB2!$A:$B,2,0),"공동과책 확인")</f>
        <v>Jo, Ji Hye</v>
      </c>
      <c r="P116" t="str">
        <v>Circular Economy</v>
      </c>
      <c r="Q116" t="str">
        <v>Environmental Economics</v>
      </c>
      <c r="R116" t="str">
        <f>IFERROR(VLOOKUP($I116,[1]DB2!$F$2:$I$58,2,0),"옛날 부서명 확인")</f>
        <v xml:space="preserve">Circular Economy Division </v>
      </c>
      <c r="S116" t="str">
        <f>IFERROR(VLOOKUP($I116,[1]DB2!$F$2:$I$58,4,0),"옛날 부서명 확인")</f>
        <v xml:space="preserve">Sustainable Development Research Group  </v>
      </c>
    </row>
    <row r="117">
      <c r="A117" t="str">
        <v>166</v>
      </c>
      <c r="B117" t="str">
        <v>수시과제</v>
      </c>
      <c r="C117" t="str">
        <v>WO2025-02</v>
      </c>
      <c r="D117" t="str">
        <v>트럼프 2.0 미·중 기후 및 재생에너지 쟁점과 시사점</v>
      </c>
      <c r="F117" t="str">
        <v>10231</v>
      </c>
      <c r="G117" t="str">
        <v>강택구</v>
      </c>
      <c r="H117" t="str">
        <v>201902200</v>
      </c>
      <c r="I117" t="str">
        <v>녹색경제연구실</v>
      </c>
      <c r="J117">
        <v>15000000</v>
      </c>
      <c r="K117" s="1" t="d">
        <v>2025-01-19T23:59:08.000Z</v>
      </c>
      <c r="L117" s="1" t="d">
        <v>2025-07-18T23:59:08.000Z</v>
      </c>
      <c r="N117" t="str">
        <v>US-China Climate and Renewable Energy in the Trump 2.0 Era: Key Issues and Policy Implications</v>
      </c>
      <c r="O117" t="str">
        <f>IFERROR(VLOOKUP($G117,[1]DB2!$A:$B,2,0),"공동과책 확인")</f>
        <v>Kang, Taek Goo</v>
      </c>
      <c r="P117" t="str">
        <v>Carbon Neutrality and Energy</v>
      </c>
      <c r="Q117" t="str">
        <v>International Environmental Collaboration</v>
      </c>
      <c r="R117" t="str">
        <f>IFERROR(VLOOKUP($I117,[1]DB2!$F$2:$I$58,2,0),"옛날 부서명 확인")</f>
        <v xml:space="preserve">Green Economy Division </v>
      </c>
      <c r="S117" t="str">
        <f>IFERROR(VLOOKUP($I117,[1]DB2!$F$2:$I$58,4,0),"옛날 부서명 확인")</f>
        <v xml:space="preserve">Climate and Atmospheric Strategy Research Group  </v>
      </c>
    </row>
    <row r="118">
      <c r="A118" t="str">
        <v>167</v>
      </c>
      <c r="B118" t="str">
        <v>수시과제</v>
      </c>
      <c r="C118" t="str">
        <v>WO2025-03</v>
      </c>
      <c r="D118" t="str">
        <v>환경보건 정책의 Planetary Health 패러다임 도입방안 마련 연구</v>
      </c>
      <c r="F118" t="str">
        <v>10297</v>
      </c>
      <c r="G118" t="str">
        <v>정다운</v>
      </c>
      <c r="H118" t="str">
        <v>201902119</v>
      </c>
      <c r="I118" t="str">
        <v>환경보건연구실</v>
      </c>
      <c r="J118">
        <v>15000000</v>
      </c>
      <c r="K118" s="1" t="d">
        <v>2025-01-19T23:59:08.000Z</v>
      </c>
      <c r="L118" s="1" t="d">
        <v>2025-07-18T23:59:08.000Z</v>
      </c>
      <c r="N118" t="str">
        <v>Implementation Strategies for Integrating the Planetary Health Paradigm into Environmental Health Policy</v>
      </c>
      <c r="O118" t="str">
        <f>IFERROR(VLOOKUP($G118,[1]DB2!$A:$B,2,0),"공동과책 확인")</f>
        <v xml:space="preserve">Jung, Dawoon </v>
      </c>
      <c r="P118" t="str">
        <v>Environmental Health</v>
      </c>
      <c r="Q118" t="str">
        <v>Socio-Environmental Interface</v>
      </c>
      <c r="R118" t="str">
        <f>IFERROR(VLOOKUP($I118,[1]DB2!$F$2:$I$58,2,0),"옛날 부서명 확인")</f>
        <v xml:space="preserve">Environmental Health Division </v>
      </c>
      <c r="S118" t="str">
        <f>IFERROR(VLOOKUP($I118,[1]DB2!$F$2:$I$58,4,0),"옛날 부서명 확인")</f>
        <v xml:space="preserve">Sustainable Development Research Group  </v>
      </c>
    </row>
    <row r="119">
      <c r="A119" t="str">
        <v>168</v>
      </c>
      <c r="B119" t="str">
        <v>수탁과제</v>
      </c>
      <c r="C119" t="str">
        <v>2025-024</v>
      </c>
      <c r="D119" t="str">
        <v>국가물순환촉진기본방침 수립 및 실태조사 연구</v>
      </c>
      <c r="F119" t="str">
        <v>10203</v>
      </c>
      <c r="G119" t="str">
        <v>한혜진</v>
      </c>
      <c r="H119" t="str">
        <v>202508190</v>
      </c>
      <c r="I119" t="str">
        <v>물관리연구실</v>
      </c>
      <c r="J119">
        <v>308636360</v>
      </c>
      <c r="K119" s="1" t="d">
        <v>2025-01-23T23:59:08.000Z</v>
      </c>
      <c r="L119" s="1" t="d">
        <v>2025-11-18T23:59:08.000Z</v>
      </c>
      <c r="M119" t="str">
        <v>환경부</v>
      </c>
      <c r="N119" t="str">
        <v>Development of the National Framework for Promoting Water Circulation and a Status Assessment</v>
      </c>
      <c r="O119" t="str">
        <f>IFERROR(VLOOKUP($G119,[1]DB2!$A:$B,2,0),"공동과책 확인")</f>
        <v>Han, Haejin</v>
      </c>
      <c r="P119" t="str">
        <v>Water Management</v>
      </c>
      <c r="R119" t="str">
        <f>IFERROR(VLOOKUP($I119,[1]DB2!$F$2:$I$58,2,0),"옛날 부서명 확인")</f>
        <v xml:space="preserve">Water Management Division </v>
      </c>
      <c r="S119" t="str">
        <f>IFERROR(VLOOKUP($I119,[1]DB2!$F$2:$I$58,4,0),"옛날 부서명 확인")</f>
        <v xml:space="preserve">Land and Environment Research Group </v>
      </c>
    </row>
    <row r="120">
      <c r="A120" t="str">
        <v>169</v>
      </c>
      <c r="B120" t="str">
        <v>수탁과제</v>
      </c>
      <c r="C120" t="str">
        <v>2025-026</v>
      </c>
      <c r="D120" t="str">
        <v>국가 온실가스 장기 감축경로 마련을 위한 연구(2차)</v>
      </c>
      <c r="F120" t="str">
        <v>10327</v>
      </c>
      <c r="G120" t="str">
        <v>김성진</v>
      </c>
      <c r="H120" t="str">
        <v>202508197</v>
      </c>
      <c r="I120" t="str">
        <v>탄소중립연구실</v>
      </c>
      <c r="J120">
        <v>272727270</v>
      </c>
      <c r="K120" s="1" t="d">
        <v>2025-01-27T23:59:08.000Z</v>
      </c>
      <c r="L120" s="1" t="d">
        <v>2025-08-25T23:59:08.000Z</v>
      </c>
      <c r="M120" t="str">
        <v>환경부 기후전략과</v>
      </c>
      <c r="N120" t="str">
        <v>Developing National Long-Term Greenhouse Gas Reduction Pathways (Phase 2)</v>
      </c>
      <c r="O120" t="str">
        <f>IFERROR(VLOOKUP($G120,[1]DB2!$A:$B,2,0),"공동과책 확인")</f>
        <v>Kim, Sungjin</v>
      </c>
      <c r="P120" t="str">
        <v>Carbon Neutrality and Energy</v>
      </c>
      <c r="R120" t="str">
        <f>IFERROR(VLOOKUP($I120,[1]DB2!$F$2:$I$58,2,0),"옛날 부서명 확인")</f>
        <v xml:space="preserve">Carbon Neutrality Division </v>
      </c>
      <c r="S120" t="str">
        <f>IFERROR(VLOOKUP($I120,[1]DB2!$F$2:$I$58,4,0),"옛날 부서명 확인")</f>
        <v xml:space="preserve">Climate and Atmospheric Strategy Research Group  </v>
      </c>
    </row>
    <row r="121">
      <c r="A121" t="str">
        <v>170</v>
      </c>
      <c r="B121" t="str">
        <v>수탁과제</v>
      </c>
      <c r="C121" t="str">
        <v>2025-025</v>
      </c>
      <c r="D121" t="str">
        <v>환경영향평가 제도개선 포럼 운영</v>
      </c>
      <c r="F121" t="str">
        <v>10289</v>
      </c>
      <c r="G121" t="str">
        <v>김경호</v>
      </c>
      <c r="H121" t="str">
        <v>202508206</v>
      </c>
      <c r="I121" t="str">
        <v>사회기반평가실</v>
      </c>
      <c r="J121">
        <v>49600000</v>
      </c>
      <c r="K121" s="1" t="d">
        <v>2025-02-06T23:59:08.000Z</v>
      </c>
      <c r="L121" s="1" t="d">
        <v>2025-12-02T23:59:08.000Z</v>
      </c>
      <c r="M121" t="str">
        <v>환경부</v>
      </c>
      <c r="N121" t="str">
        <v>Operation of the Environmental Impact Assessment Reform Forum</v>
      </c>
      <c r="O121" t="str">
        <f>IFERROR(VLOOKUP($G121,[1]DB2!$A:$B,2,0),"공동과책 확인")</f>
        <v>Kim, Kyoung-Ho</v>
      </c>
      <c r="P121" t="str">
        <v>Environmental Assessment</v>
      </c>
      <c r="R121" t="str">
        <f>IFERROR(VLOOKUP($I121,[1]DB2!$F$2:$I$58,2,0),"옛날 부서명 확인")</f>
        <v xml:space="preserve">Social Infrastructure Assessment Division </v>
      </c>
      <c r="S121" t="str">
        <f>IFERROR(VLOOKUP($I121,[1]DB2!$F$2:$I$58,4,0),"옛날 부서명 확인")</f>
        <v xml:space="preserve">Environmental Assessment Group </v>
      </c>
    </row>
    <row r="122">
      <c r="A122" t="str">
        <v>171</v>
      </c>
      <c r="B122" t="str">
        <v>수탁과제</v>
      </c>
      <c r="C122" t="str">
        <v>2025-029</v>
      </c>
      <c r="D122" t="str">
        <v>차등화된 환경영향평가체계 마련 연구(2차)</v>
      </c>
      <c r="F122" t="str">
        <v>10290</v>
      </c>
      <c r="G122" t="str">
        <v>양경</v>
      </c>
      <c r="H122" t="str">
        <v>202508165</v>
      </c>
      <c r="I122" t="str">
        <v>기후에너지평가실</v>
      </c>
      <c r="J122">
        <v>78600000</v>
      </c>
      <c r="K122" s="1" t="d">
        <v>2025-02-16T23:59:08.000Z</v>
      </c>
      <c r="L122" s="1" t="d">
        <v>2025-12-11T23:59:08.000Z</v>
      </c>
      <c r="M122" t="str">
        <v>환경부</v>
      </c>
      <c r="N122" t="str">
        <v>Developing a Tiered Environmental Impact Assessment System (Phase 2)</v>
      </c>
      <c r="O122" t="str">
        <f>IFERROR(VLOOKUP($G122,[1]DB2!$A:$B,2,0),"공동과책 확인")</f>
        <v xml:space="preserve">Yang, Kyung </v>
      </c>
      <c r="P122" t="str">
        <v>Environmental Assessment</v>
      </c>
      <c r="R122" t="str">
        <f>IFERROR(VLOOKUP($I122,[1]DB2!$F$2:$I$58,2,0),"옛날 부서명 확인")</f>
        <v xml:space="preserve">Climate and Energy Assessment Division </v>
      </c>
      <c r="S122" t="str">
        <f>IFERROR(VLOOKUP($I122,[1]DB2!$F$2:$I$58,4,0),"옛날 부서명 확인")</f>
        <v xml:space="preserve">Environmental Assessment Group </v>
      </c>
    </row>
    <row r="123">
      <c r="A123" t="str">
        <v>172</v>
      </c>
      <c r="B123" t="str">
        <v>수탁과제</v>
      </c>
      <c r="C123" t="str">
        <v>2025-034</v>
      </c>
      <c r="D123" t="str">
        <v>환경성보장제 운영을 위한 전기·전자제품 분류 및 분석</v>
      </c>
      <c r="F123" t="str">
        <v>10273</v>
      </c>
      <c r="G123" t="str">
        <v>이소라</v>
      </c>
      <c r="H123" t="str">
        <v>202508204</v>
      </c>
      <c r="I123" t="str">
        <v>순환경제연구실</v>
      </c>
      <c r="J123">
        <v>152000000</v>
      </c>
      <c r="K123" s="1" t="d">
        <v>2025-02-23T23:59:08.000Z</v>
      </c>
      <c r="L123" s="1" t="d">
        <v>2025-11-20T23:59:08.000Z</v>
      </c>
      <c r="M123" t="str">
        <v>한국환경공단</v>
      </c>
      <c r="N123" t="str">
        <v>Classification and Analysis of Electrical and Electronic Products to Promote the Eco-Assurance System (EcoAS)</v>
      </c>
      <c r="O123" t="str">
        <f>IFERROR(VLOOKUP($G123,[1]DB2!$A:$B,2,0),"공동과책 확인")</f>
        <v xml:space="preserve">Yi, Sora </v>
      </c>
      <c r="P123" t="str">
        <v>Circular Economy</v>
      </c>
      <c r="Q123" t="str">
        <v>Socio-Environmental Interface</v>
      </c>
      <c r="R123" t="str">
        <f>IFERROR(VLOOKUP($I123,[1]DB2!$F$2:$I$58,2,0),"옛날 부서명 확인")</f>
        <v xml:space="preserve">Circular Economy Division </v>
      </c>
      <c r="S123" t="str">
        <f>IFERROR(VLOOKUP($I123,[1]DB2!$F$2:$I$58,4,0),"옛날 부서명 확인")</f>
        <v xml:space="preserve">Sustainable Development Research Group  </v>
      </c>
    </row>
    <row r="124">
      <c r="A124" t="str">
        <v>173</v>
      </c>
      <c r="B124" t="str">
        <v>수탁과제</v>
      </c>
      <c r="C124" t="str">
        <v>2025-033</v>
      </c>
      <c r="D124" t="str">
        <v>무탄소 전원 환경성평가 방안 연구</v>
      </c>
      <c r="F124" t="str">
        <v>10227</v>
      </c>
      <c r="G124" t="str">
        <v>김태윤</v>
      </c>
      <c r="H124" t="str">
        <v>202508165</v>
      </c>
      <c r="I124" t="str">
        <v>기후에너지평가실</v>
      </c>
      <c r="J124">
        <v>170000000</v>
      </c>
      <c r="K124" s="1" t="d">
        <v>2025-02-26T23:59:08.000Z</v>
      </c>
      <c r="L124" s="1" t="d">
        <v>2025-12-30T23:59:08.000Z</v>
      </c>
      <c r="M124" t="str">
        <v>환경부 환경영향평가과</v>
      </c>
      <c r="N124" t="str">
        <v>Developing Environmental Assessment Approaches for Zero-Carbon Power Sources</v>
      </c>
      <c r="O124" t="str">
        <f>IFERROR(VLOOKUP($G124,[1]DB2!$A:$B,2,0),"공동과책 확인")</f>
        <v>Kim, Taeyun</v>
      </c>
      <c r="P124" t="str">
        <v>Environmental Assessment</v>
      </c>
      <c r="Q124" t="str">
        <v>Carbon Neutrality and Energy</v>
      </c>
      <c r="R124" t="str">
        <f>IFERROR(VLOOKUP($I124,[1]DB2!$F$2:$I$58,2,0),"옛날 부서명 확인")</f>
        <v xml:space="preserve">Climate and Energy Assessment Division </v>
      </c>
      <c r="S124" t="str">
        <f>IFERROR(VLOOKUP($I124,[1]DB2!$F$2:$I$58,4,0),"옛날 부서명 확인")</f>
        <v xml:space="preserve">Environmental Assessment Group </v>
      </c>
    </row>
    <row r="125">
      <c r="A125" t="str">
        <v>174</v>
      </c>
      <c r="B125" t="str">
        <v>수탁과제</v>
      </c>
      <c r="C125" t="str">
        <v>2025-035(R)</v>
      </c>
      <c r="D125" t="str">
        <v>홍수피해 유형화 기반 취약지역 평가 및 피해액 추정 모형 개발 연구(3차년도)</v>
      </c>
      <c r="F125" t="str">
        <v>10333</v>
      </c>
      <c r="G125" t="str">
        <v>정기철</v>
      </c>
      <c r="H125" t="str">
        <v>202508190</v>
      </c>
      <c r="I125" t="str">
        <v>물관리연구실</v>
      </c>
      <c r="J125">
        <v>89350000</v>
      </c>
      <c r="K125" s="1" t="d">
        <v>2025-02-28T23:59:08.000Z</v>
      </c>
      <c r="L125" s="1" t="d">
        <v>2026-02-27T23:59:08.000Z</v>
      </c>
      <c r="M125" t="str">
        <v>한국연구재단</v>
      </c>
      <c r="N125" t="str">
        <v>Study on Developing a System for Flood Risk Evaluation and Expected Annual Damage based on Flood Damage Types (Year 3)</v>
      </c>
      <c r="O125" t="str">
        <f>IFERROR(VLOOKUP($G125,[1]DB2!$A:$B,2,0),"공동과책 확인")</f>
        <v xml:space="preserve">Jung, Kichul </v>
      </c>
      <c r="P125" t="str">
        <v>Water Management</v>
      </c>
      <c r="Q125" t="str">
        <v>Environmental Economics</v>
      </c>
      <c r="R125" t="str">
        <f>IFERROR(VLOOKUP($I125,[1]DB2!$F$2:$I$58,2,0),"옛날 부서명 확인")</f>
        <v xml:space="preserve">Water Management Division </v>
      </c>
      <c r="S125" t="str">
        <f>IFERROR(VLOOKUP($I125,[1]DB2!$F$2:$I$58,4,0),"옛날 부서명 확인")</f>
        <v xml:space="preserve">Land and Environment Research Group </v>
      </c>
    </row>
    <row r="126">
      <c r="A126" t="str">
        <v>175</v>
      </c>
      <c r="B126" t="str">
        <v>수탁과제</v>
      </c>
      <c r="C126" t="str">
        <v>2025-042(R)</v>
      </c>
      <c r="D126" t="str">
        <v>딥러닝 기반 생물다양성 예측 및 리질리언스 평가 기술 개발(5차년도)</v>
      </c>
      <c r="F126" t="str">
        <v>10346</v>
      </c>
      <c r="G126" t="str">
        <v>최유영</v>
      </c>
      <c r="H126" t="str">
        <v>202508163</v>
      </c>
      <c r="I126" t="str">
        <v>국토전략평가실</v>
      </c>
      <c r="J126">
        <v>119950000</v>
      </c>
      <c r="K126" s="1" t="d">
        <v>2025-02-28T23:59:08.000Z</v>
      </c>
      <c r="L126" s="1" t="d">
        <v>2027-05-27T23:59:08.000Z</v>
      </c>
      <c r="M126" t="str">
        <v>한국연구재단</v>
      </c>
      <c r="N126" t="str">
        <v>Resilience Assessment of Biodiversity Using Big Data and Intelligent Technology (RABBIT) (Year 5)</v>
      </c>
      <c r="O126" t="str">
        <f>IFERROR(VLOOKUP($G126,[1]DB2!$A:$B,2,0),"공동과책 확인")</f>
        <v>Choi, Yuyoung</v>
      </c>
      <c r="P126" t="str">
        <v>AI and Environmental Informatics</v>
      </c>
      <c r="Q126" t="str">
        <v>Ecology</v>
      </c>
      <c r="R126" t="str">
        <f>IFERROR(VLOOKUP($I126,[1]DB2!$F$2:$I$58,2,0),"옛날 부서명 확인")</f>
        <v xml:space="preserve">Land Strategy Assessment Division </v>
      </c>
      <c r="S126" t="str">
        <f>IFERROR(VLOOKUP($I126,[1]DB2!$F$2:$I$58,4,0),"옛날 부서명 확인")</f>
        <v xml:space="preserve">Environmental Assessment Group </v>
      </c>
    </row>
    <row r="127">
      <c r="A127" t="str">
        <v>177</v>
      </c>
      <c r="B127" t="str">
        <v>기초과제</v>
      </c>
      <c r="C127" t="str">
        <v>BA2025-010-01</v>
      </c>
      <c r="D127" t="str">
        <v>건설 부문의 순환경제 이행을 위한 정책 국제동향 분석 연구</v>
      </c>
      <c r="F127" t="str">
        <v>10159</v>
      </c>
      <c r="G127" t="str">
        <v>임혜숙</v>
      </c>
      <c r="H127" t="str">
        <v>202508204</v>
      </c>
      <c r="I127" t="str">
        <v>순환경제연구실</v>
      </c>
      <c r="J127">
        <v>3000000</v>
      </c>
      <c r="K127" s="1" t="d">
        <v>2025-03-03T23:59:08.000Z</v>
      </c>
      <c r="L127" s="1" t="d">
        <v>2025-09-02T23:59:08.000Z</v>
      </c>
      <c r="N127" t="str">
        <v>International Policy Trends on Circular Economy Implementation in the Construction Sector</v>
      </c>
      <c r="O127" t="str">
        <f>IFERROR(VLOOKUP($G127,[1]DB2!$A:$B,2,0),"공동과책 확인")</f>
        <v>Lim, Hyesook</v>
      </c>
      <c r="P127" t="str">
        <v>Circular Economy</v>
      </c>
      <c r="R127" t="str">
        <f>IFERROR(VLOOKUP($I127,[1]DB2!$F$2:$I$58,2,0),"옛날 부서명 확인")</f>
        <v xml:space="preserve">Circular Economy Division </v>
      </c>
      <c r="S127" t="str">
        <f>IFERROR(VLOOKUP($I127,[1]DB2!$F$2:$I$58,4,0),"옛날 부서명 확인")</f>
        <v xml:space="preserve">Sustainable Development Research Group  </v>
      </c>
    </row>
    <row r="128">
      <c r="A128" t="str">
        <v>178</v>
      </c>
      <c r="B128" t="str">
        <v>기초과제</v>
      </c>
      <c r="C128" t="str">
        <v>BA2025-010-02</v>
      </c>
      <c r="D128" t="str">
        <v>연안 그린-그레이 인프라 침수리스크 감소 평가체계 구축</v>
      </c>
      <c r="F128" t="str">
        <v>10342</v>
      </c>
      <c r="G128" t="str">
        <v>김연중</v>
      </c>
      <c r="H128" t="str">
        <v>202508190</v>
      </c>
      <c r="I128" t="str">
        <v>물관리연구실</v>
      </c>
      <c r="J128">
        <v>3000000</v>
      </c>
      <c r="K128" s="1" t="d">
        <v>2025-03-03T23:59:08.000Z</v>
      </c>
      <c r="L128" s="1" t="d">
        <v>2025-09-02T23:59:08.000Z</v>
      </c>
      <c r="N128" t="str">
        <v>Framework Development for Assessing Flood Risk Reduction of Coastal Green-Grey Infrastructure</v>
      </c>
      <c r="O128" t="str">
        <f>IFERROR(VLOOKUP($G128,[1]DB2!$A:$B,2,0),"공동과책 확인")</f>
        <v>Kim, Yeonjoong</v>
      </c>
      <c r="P128" t="str">
        <v>Climate Adaptation</v>
      </c>
      <c r="Q128" t="str">
        <v>Marine Environment</v>
      </c>
      <c r="R128" t="str">
        <f>IFERROR(VLOOKUP($I128,[1]DB2!$F$2:$I$58,2,0),"옛날 부서명 확인")</f>
        <v xml:space="preserve">Water Management Division </v>
      </c>
      <c r="S128" t="str">
        <f>IFERROR(VLOOKUP($I128,[1]DB2!$F$2:$I$58,4,0),"옛날 부서명 확인")</f>
        <v xml:space="preserve">Land and Environment Research Group </v>
      </c>
    </row>
    <row r="129">
      <c r="A129" t="str">
        <v>179</v>
      </c>
      <c r="B129" t="str">
        <v>기초과제</v>
      </c>
      <c r="C129" t="str">
        <v>BA2025-010-03</v>
      </c>
      <c r="D129" t="str">
        <v>ESG 공시와 자연자본 공시 간 연계성 제고를 위한 기초 연구</v>
      </c>
      <c r="F129" t="str">
        <v>10359</v>
      </c>
      <c r="G129" t="str">
        <v>김현정</v>
      </c>
      <c r="H129" t="str">
        <v>202508095</v>
      </c>
      <c r="I129" t="str">
        <v>녹색경제연구실</v>
      </c>
      <c r="J129">
        <v>3000000</v>
      </c>
      <c r="K129" s="1" t="d">
        <v>2025-03-03T23:59:08.000Z</v>
      </c>
      <c r="L129" s="1" t="d">
        <v>2025-09-02T23:59:08.000Z</v>
      </c>
      <c r="N129" t="str">
        <v>From ESG to Natural Capital: Toward Integrated Disclosure Frameworks</v>
      </c>
      <c r="O129" t="str">
        <f>IFERROR(VLOOKUP($G129,[1]DB2!$A:$B,2,0),"공동과책 확인")</f>
        <v xml:space="preserve">Kim, Hyunjung </v>
      </c>
      <c r="P129" t="str">
        <v>Environmental Economics</v>
      </c>
      <c r="Q129" t="str">
        <v>Socio-Environmental Interface</v>
      </c>
      <c r="R129" t="str">
        <f>IFERROR(VLOOKUP($I129,[1]DB2!$F$2:$I$58,2,0),"옛날 부서명 확인")</f>
        <v xml:space="preserve">Green Economy Division </v>
      </c>
      <c r="S129" t="str">
        <f>IFERROR(VLOOKUP($I129,[1]DB2!$F$2:$I$58,4,0),"옛날 부서명 확인")</f>
        <v xml:space="preserve">Climate and Atmospheric Strategy Research Group  </v>
      </c>
    </row>
    <row r="130">
      <c r="A130" t="str">
        <v>180</v>
      </c>
      <c r="B130" t="str">
        <v>수탁과제</v>
      </c>
      <c r="C130" t="str">
        <v>2025-040</v>
      </c>
      <c r="D130" t="str">
        <v>국토환경 녹색복원 후보목록 3차년도 조사연구</v>
      </c>
      <c r="F130" t="str">
        <v>10282</v>
      </c>
      <c r="G130" t="str">
        <v>손승우</v>
      </c>
      <c r="H130" t="str">
        <v>202508205</v>
      </c>
      <c r="I130" t="str">
        <v>국토관리연구실</v>
      </c>
      <c r="J130">
        <v>143600000</v>
      </c>
      <c r="K130" s="1" t="d">
        <v>2025-03-05T23:59:08.000Z</v>
      </c>
      <c r="L130" s="1" t="d">
        <v>2026-03-04T23:59:08.000Z</v>
      </c>
      <c r="M130" t="str">
        <v>환경부</v>
      </c>
      <c r="N130" t="str">
        <v>Developing a National Candidate Site List for Green Restoration (Year 3)</v>
      </c>
      <c r="O130" t="str">
        <f>IFERROR(VLOOKUP($G130,[1]DB2!$A:$B,2,0),"공동과책 확인")</f>
        <v>Son, Seungwoo</v>
      </c>
      <c r="P130" t="str">
        <v>Land and Urban Environment</v>
      </c>
      <c r="Q130" t="str">
        <v>Ecology</v>
      </c>
      <c r="R130" t="str">
        <f>IFERROR(VLOOKUP($I130,[1]DB2!$F$2:$I$58,2,0),"옛날 부서명 확인")</f>
        <v>Spatial Planning and Management Division</v>
      </c>
      <c r="S130" t="str">
        <f>IFERROR(VLOOKUP($I130,[1]DB2!$F$2:$I$58,4,0),"옛날 부서명 확인")</f>
        <v xml:space="preserve">Land and Environment Research Group </v>
      </c>
    </row>
    <row r="131">
      <c r="A131" t="str">
        <v>181</v>
      </c>
      <c r="B131" t="str">
        <v>수탁과제</v>
      </c>
      <c r="C131" t="str">
        <v>2025-037</v>
      </c>
      <c r="D131" t="str">
        <v>제5차 소음·진동관리종합계획 수립 연구</v>
      </c>
      <c r="F131" t="str">
        <v>10337</v>
      </c>
      <c r="G131" t="str">
        <v>박태호</v>
      </c>
      <c r="H131" t="str">
        <v>202508206</v>
      </c>
      <c r="I131" t="str">
        <v>사회기반평가실</v>
      </c>
      <c r="J131">
        <v>90000000</v>
      </c>
      <c r="K131" s="1" t="d">
        <v>2025-03-06T23:59:08.000Z</v>
      </c>
      <c r="L131" s="1" t="d">
        <v>2025-12-14T23:59:08.000Z</v>
      </c>
      <c r="M131" t="str">
        <v>환경부</v>
      </c>
      <c r="N131" t="str">
        <v>Study on the Formulation of the Fifth Comprehensive Noise and Vibration Management Plan</v>
      </c>
      <c r="O131" t="str">
        <f>IFERROR(VLOOKUP($G131,[1]DB2!$A:$B,2,0),"공동과책 확인")</f>
        <v>Park, Taeho</v>
      </c>
      <c r="P131" t="str">
        <v>Socio-Environmental Interface</v>
      </c>
      <c r="R131" t="str">
        <f>IFERROR(VLOOKUP($I131,[1]DB2!$F$2:$I$58,2,0),"옛날 부서명 확인")</f>
        <v xml:space="preserve">Social Infrastructure Assessment Division </v>
      </c>
      <c r="S131" t="str">
        <f>IFERROR(VLOOKUP($I131,[1]DB2!$F$2:$I$58,4,0),"옛날 부서명 확인")</f>
        <v xml:space="preserve">Environmental Assessment Group </v>
      </c>
    </row>
    <row r="132">
      <c r="A132" t="str">
        <v>182</v>
      </c>
      <c r="B132" t="str">
        <v>수탁과제</v>
      </c>
      <c r="C132" t="str">
        <v>2025-038</v>
      </c>
      <c r="D132" t="str">
        <v>국토-환경계획 통합관리 이행 고도화 및 시범사업 운영</v>
      </c>
      <c r="F132" t="str">
        <v>10283</v>
      </c>
      <c r="G132" t="str">
        <v>송지윤</v>
      </c>
      <c r="H132" t="str">
        <v>202508124</v>
      </c>
      <c r="I132" t="str">
        <v>기후적응정책실</v>
      </c>
      <c r="J132">
        <v>78856000</v>
      </c>
      <c r="K132" s="1" t="d">
        <v>2025-03-06T23:59:08.000Z</v>
      </c>
      <c r="L132" s="1" t="d">
        <v>2025-12-30T23:59:08.000Z</v>
      </c>
      <c r="M132" t="str">
        <v>환경부</v>
      </c>
      <c r="N132" t="str">
        <v>Advancing Integrated Management of Land and Environmental Planning and Operating Pilot Projects</v>
      </c>
      <c r="O132" t="str">
        <f>IFERROR(VLOOKUP($G132,[1]DB2!$A:$B,2,0),"공동과책 확인")</f>
        <v xml:space="preserve">Song, Jiyoon </v>
      </c>
      <c r="P132" t="str">
        <v>Land and Urban Environment</v>
      </c>
      <c r="R132" t="str">
        <f>IFERROR(VLOOKUP($I132,[1]DB2!$F$2:$I$58,2,0),"옛날 부서명 확인")</f>
        <v xml:space="preserve">Climate Adaptation Policy Division </v>
      </c>
      <c r="S132" t="str">
        <f>IFERROR(VLOOKUP($I132,[1]DB2!$F$2:$I$58,4,0),"옛날 부서명 확인")</f>
        <v xml:space="preserve">Korea Adaptation Center for Climate Change </v>
      </c>
    </row>
    <row r="133">
      <c r="A133" t="str">
        <v>183</v>
      </c>
      <c r="B133" t="str">
        <v>수탁과제</v>
      </c>
      <c r="C133" t="str">
        <v>2025-039</v>
      </c>
      <c r="D133" t="str">
        <v>협의권한 지방이양 특례 운영성과 평가 연구(환경영향평가, 자연경관영향협의 부문)</v>
      </c>
      <c r="F133" t="str">
        <v>10245</v>
      </c>
      <c r="G133" t="str">
        <v>이상윤</v>
      </c>
      <c r="H133" t="str">
        <v>202508207</v>
      </c>
      <c r="I133" t="str">
        <v>환경자원평가실</v>
      </c>
      <c r="J133">
        <v>39550000</v>
      </c>
      <c r="K133" s="1" t="d">
        <v>2025-03-09T23:59:08.000Z</v>
      </c>
      <c r="L133" s="1" t="d">
        <v>2025-12-03T23:59:08.000Z</v>
      </c>
      <c r="M133" t="str">
        <v>환경부</v>
      </c>
      <c r="N133" t="str">
        <v>Evaluating the Outcomes of Special Local Transfers of Consultation Authority (EIA and Landscape Impact Consultation)</v>
      </c>
      <c r="O133" t="str">
        <f>IFERROR(VLOOKUP($G133,[1]DB2!$A:$B,2,0),"공동과책 확인")</f>
        <v>Lee, Sangyun</v>
      </c>
      <c r="P133" t="str">
        <v>Environmental Assessment</v>
      </c>
      <c r="R133" t="str">
        <f>IFERROR(VLOOKUP($I133,[1]DB2!$F$2:$I$58,2,0),"옛날 부서명 확인")</f>
        <v xml:space="preserve">Environmental Resources Assessment Division </v>
      </c>
      <c r="S133" t="str">
        <f>IFERROR(VLOOKUP($I133,[1]DB2!$F$2:$I$58,4,0),"옛날 부서명 확인")</f>
        <v xml:space="preserve">Environmental Assessment Group </v>
      </c>
    </row>
    <row r="134">
      <c r="A134" t="str">
        <v>184</v>
      </c>
      <c r="B134" t="str">
        <v>수탁과제</v>
      </c>
      <c r="C134" t="str">
        <v>2025-041</v>
      </c>
      <c r="D134" t="str">
        <v>빛공해 방지법 미적용 조명 관리방안 마련 연구</v>
      </c>
      <c r="F134" t="str">
        <v>10152</v>
      </c>
      <c r="G134" t="str">
        <v>이상범</v>
      </c>
      <c r="H134" t="str">
        <v>202508102</v>
      </c>
      <c r="I134" t="str">
        <v>환경평가본부</v>
      </c>
      <c r="J134">
        <v>39600000</v>
      </c>
      <c r="K134" s="1" t="d">
        <v>2025-03-10T23:59:08.000Z</v>
      </c>
      <c r="L134" s="1" t="d">
        <v>2025-11-27T23:59:08.000Z</v>
      </c>
      <c r="M134" t="str">
        <v>환경부</v>
      </c>
      <c r="N134" t="str">
        <v>Developing Management Approaches for Lighting Outside the Scope of the Light Pollution Prevention Act</v>
      </c>
      <c r="O134" t="str">
        <f>IFERROR(VLOOKUP($G134,[1]DB2!$A:$B,2,0),"공동과책 확인")</f>
        <v>Lee, Sangbum</v>
      </c>
      <c r="P134" t="str">
        <v>Socio-Environmental Interface</v>
      </c>
      <c r="Q134" t="str">
        <v>Environmental Assessment</v>
      </c>
      <c r="R134" t="str">
        <f>IFERROR(VLOOKUP($I134,[1]DB2!$F$2:$I$58,2,0),"옛날 부서명 확인")</f>
        <v xml:space="preserve">Environmental Assessment Group </v>
      </c>
      <c r="S134" t="str">
        <f>IFERROR(VLOOKUP($I134,[1]DB2!$F$2:$I$58,4,0),"옛날 부서명 확인")</f>
        <v xml:space="preserve">Environmental Assessment Group </v>
      </c>
    </row>
    <row r="135">
      <c r="A135" t="str">
        <v>185</v>
      </c>
      <c r="B135" t="str">
        <v>수탁과제</v>
      </c>
      <c r="C135" t="str">
        <v>2025-043</v>
      </c>
      <c r="D135" t="str">
        <v>협의권한 지방이양 특례 운영성과 평가 연구(기후변화영향평가 부문)</v>
      </c>
      <c r="F135" t="str">
        <v>10245</v>
      </c>
      <c r="G135" t="str">
        <v>이상윤</v>
      </c>
      <c r="H135" t="str">
        <v>202508207</v>
      </c>
      <c r="I135" t="str">
        <v>환경자원평가실</v>
      </c>
      <c r="J135">
        <v>39700000</v>
      </c>
      <c r="K135" s="1" t="d">
        <v>2025-03-12T23:59:08.000Z</v>
      </c>
      <c r="L135" s="1" t="d">
        <v>2025-12-06T23:59:08.000Z</v>
      </c>
      <c r="M135" t="str">
        <v>환경부</v>
      </c>
      <c r="N135" t="str">
        <v>Evaluating the Outcomes of Special Local Transfers of Consultation Authority (Climate Change Impact Assessment)</v>
      </c>
      <c r="O135" t="str">
        <f>IFERROR(VLOOKUP($G135,[1]DB2!$A:$B,2,0),"공동과책 확인")</f>
        <v>Lee, Sangyun</v>
      </c>
      <c r="P135" t="str">
        <v>Environmental Assessment</v>
      </c>
      <c r="R135" t="str">
        <f>IFERROR(VLOOKUP($I135,[1]DB2!$F$2:$I$58,2,0),"옛날 부서명 확인")</f>
        <v xml:space="preserve">Environmental Resources Assessment Division </v>
      </c>
      <c r="S135" t="str">
        <f>IFERROR(VLOOKUP($I135,[1]DB2!$F$2:$I$58,4,0),"옛날 부서명 확인")</f>
        <v xml:space="preserve">Environmental Assessment Group </v>
      </c>
    </row>
    <row r="136">
      <c r="A136" t="str">
        <v>186</v>
      </c>
      <c r="B136" t="str">
        <v>수탁과제</v>
      </c>
      <c r="C136" t="str">
        <v>2025-036</v>
      </c>
      <c r="D136" t="str">
        <v>전북 서해안 세계지질공원 재검증 및 확대 인증 용역</v>
      </c>
      <c r="F136" t="str">
        <v>50018</v>
      </c>
      <c r="G136" t="str">
        <v>이수재</v>
      </c>
      <c r="H136" t="str">
        <v>202508192</v>
      </c>
      <c r="I136" t="str">
        <v>자연환경연구실</v>
      </c>
      <c r="J136">
        <v>130895000</v>
      </c>
      <c r="K136" s="1" t="d">
        <v>2025-03-13T23:59:08.000Z</v>
      </c>
      <c r="L136" s="1" t="d">
        <v>2027-01-01T23:59:08.000Z</v>
      </c>
      <c r="M136" t="str">
        <v>전북특별자치도</v>
      </c>
      <c r="N136" t="str">
        <v>Study for Revalidation and Expansion of the Jeonbuk West Coast UNESCO Global Geopark</v>
      </c>
      <c r="O136" t="str">
        <f>IFERROR(VLOOKUP($G136,[1]DB2!$A:$B,2,0),"공동과책 확인")</f>
        <v>Lee, Soojae</v>
      </c>
      <c r="P136" t="str">
        <v>Ecology</v>
      </c>
      <c r="Q136" t="str">
        <v>Land and Urban Environment</v>
      </c>
      <c r="R136" t="str">
        <f>IFERROR(VLOOKUP($I136,[1]DB2!$F$2:$I$58,2,0),"옛날 부서명 확인")</f>
        <v xml:space="preserve">Natural Environment Division </v>
      </c>
      <c r="S136" t="str">
        <f>IFERROR(VLOOKUP($I136,[1]DB2!$F$2:$I$58,4,0),"옛날 부서명 확인")</f>
        <v xml:space="preserve">Land and Environment Research Group </v>
      </c>
    </row>
    <row r="137">
      <c r="A137" t="str">
        <v>187</v>
      </c>
      <c r="B137" t="str">
        <v>수탁과제</v>
      </c>
      <c r="C137" t="str">
        <v>2025-044</v>
      </c>
      <c r="D137" t="str">
        <v>발전부문 BM기반 사전할당에 따른 영향분석 연구</v>
      </c>
      <c r="F137" t="str">
        <v>10334</v>
      </c>
      <c r="G137" t="str">
        <v>최형식</v>
      </c>
      <c r="H137" t="str">
        <v>202508197</v>
      </c>
      <c r="I137" t="str">
        <v>탄소중립연구실</v>
      </c>
      <c r="J137">
        <v>79100000</v>
      </c>
      <c r="K137" s="1" t="d">
        <v>2025-03-13T23:59:08.000Z</v>
      </c>
      <c r="L137" s="1" t="d">
        <v>2025-11-08T23:59:08.000Z</v>
      </c>
      <c r="M137" t="str">
        <v>환경부 기후경제과</v>
      </c>
      <c r="N137" t="str">
        <v>Study on the Effects of BM-Based Pre-Allocation in the Power Sector</v>
      </c>
      <c r="O137" t="str">
        <f>IFERROR(VLOOKUP($G137,[1]DB2!$A:$B,2,0),"공동과책 확인")</f>
        <v>Choi, Hyungsik</v>
      </c>
      <c r="P137" t="str">
        <v>Carbon Neutrality and Energy</v>
      </c>
      <c r="Q137" t="str">
        <v>Environmental Economics</v>
      </c>
      <c r="R137" t="str">
        <f>IFERROR(VLOOKUP($I137,[1]DB2!$F$2:$I$58,2,0),"옛날 부서명 확인")</f>
        <v xml:space="preserve">Carbon Neutrality Division </v>
      </c>
      <c r="S137" t="str">
        <f>IFERROR(VLOOKUP($I137,[1]DB2!$F$2:$I$58,4,0),"옛날 부서명 확인")</f>
        <v xml:space="preserve">Climate and Atmospheric Strategy Research Group  </v>
      </c>
    </row>
    <row r="138">
      <c r="A138" t="str">
        <v>188</v>
      </c>
      <c r="B138" t="str">
        <v>수탁과제</v>
      </c>
      <c r="C138" t="str">
        <v>2025-045</v>
      </c>
      <c r="D138" t="str">
        <v>국가생물다양성전략 이행점검을 위한 지표 개발 연구(2차년도)</v>
      </c>
      <c r="F138" t="str">
        <v>10300</v>
      </c>
      <c r="G138" t="str">
        <v>구경아</v>
      </c>
      <c r="H138" t="str">
        <v>202508192</v>
      </c>
      <c r="I138" t="str">
        <v>자연환경연구실</v>
      </c>
      <c r="J138">
        <v>130454540</v>
      </c>
      <c r="K138" s="1" t="d">
        <v>2025-03-17T23:59:08.000Z</v>
      </c>
      <c r="L138" s="1" t="d">
        <v>2025-11-29T23:59:08.000Z</v>
      </c>
      <c r="M138" t="str">
        <v>국립생물자원관</v>
      </c>
      <c r="N138" t="str">
        <v>Indicator Development for Evaluating National Biodiversity Strategy Implementation (Phase 2)</v>
      </c>
      <c r="O138" t="str">
        <f>IFERROR(VLOOKUP($G138,[1]DB2!$A:$B,2,0),"공동과책 확인")</f>
        <v xml:space="preserve">Koo, Kyung Ah </v>
      </c>
      <c r="P138" t="str">
        <v>Ecology</v>
      </c>
      <c r="Q138" t="str">
        <v>International Environmental Collaboration</v>
      </c>
      <c r="R138" t="str">
        <f>IFERROR(VLOOKUP($I138,[1]DB2!$F$2:$I$58,2,0),"옛날 부서명 확인")</f>
        <v xml:space="preserve">Natural Environment Division </v>
      </c>
      <c r="S138" t="str">
        <f>IFERROR(VLOOKUP($I138,[1]DB2!$F$2:$I$58,4,0),"옛날 부서명 확인")</f>
        <v xml:space="preserve">Land and Environment Research Group </v>
      </c>
    </row>
    <row r="139">
      <c r="A139" t="str">
        <v>189</v>
      </c>
      <c r="B139" t="str">
        <v>수탁과제</v>
      </c>
      <c r="C139" t="str">
        <v>2025-016</v>
      </c>
      <c r="D139" t="str">
        <v xml:space="preserve">수자원 위성 활용기술 개발(Ⅱ)(2차) </v>
      </c>
      <c r="F139" t="str">
        <v>30056</v>
      </c>
      <c r="G139" t="str">
        <v>이선민</v>
      </c>
      <c r="H139" t="str">
        <v>202508206</v>
      </c>
      <c r="I139" t="str">
        <v>기후적응협력실</v>
      </c>
      <c r="J139">
        <v>80742060</v>
      </c>
      <c r="K139" s="1" t="d">
        <v>2025-03-18T23:59:08.000Z</v>
      </c>
      <c r="L139" s="1" t="d">
        <v>2026-03-17T23:59:08.000Z</v>
      </c>
      <c r="M139" t="str">
        <v>K-water 연구원</v>
      </c>
      <c r="N139" t="str">
        <v>Developing Technologies for Satellite-based Water Resource Management (II) (Phase 2)</v>
      </c>
      <c r="O139" t="str">
        <f>IFERROR(VLOOKUP($G139,[1]DB2!$A:$B,2,0),"공동과책 확인")</f>
        <v>Lee, Sunmin</v>
      </c>
      <c r="P139" t="str">
        <v>Water Management</v>
      </c>
      <c r="Q139" t="str">
        <v>AI and Environmental Informatics</v>
      </c>
      <c r="R139" t="str">
        <f>IFERROR(VLOOKUP($I139,[1]DB2!$F$2:$I$58,2,0),"옛날 부서명 확인")</f>
        <v xml:space="preserve">Climate Adaptation Cooperation Division </v>
      </c>
      <c r="S139" t="str">
        <f>IFERROR(VLOOKUP($I139,[1]DB2!$F$2:$I$58,4,0),"옛날 부서명 확인")</f>
        <v xml:space="preserve">Korea Adaptation Center for Climate Change </v>
      </c>
    </row>
    <row r="140">
      <c r="A140" t="str">
        <v>190</v>
      </c>
      <c r="B140" t="str">
        <v>수탁과제</v>
      </c>
      <c r="C140" t="str">
        <v>2025-053</v>
      </c>
      <c r="D140" t="str">
        <v>환경보건정보 빅데이터 분야 환경보건센터(1차년도)</v>
      </c>
      <c r="F140" t="str">
        <v>10211</v>
      </c>
      <c r="G140" t="str">
        <v>배현주</v>
      </c>
      <c r="H140" t="str">
        <v>202508119</v>
      </c>
      <c r="I140" t="str">
        <v>환경보건연구실</v>
      </c>
      <c r="J140">
        <v>263250000</v>
      </c>
      <c r="K140" s="1" t="d">
        <v>2025-03-18T23:59:08.000Z</v>
      </c>
      <c r="L140" s="1" t="d">
        <v>2025-12-30T23:59:08.000Z</v>
      </c>
      <c r="M140" t="str">
        <v>환경부 환경보건정책과</v>
      </c>
      <c r="N140" t="str">
        <v>Environmental Health Big Data Information Center (Year 1)</v>
      </c>
      <c r="O140" t="str">
        <f>IFERROR(VLOOKUP($G140,[1]DB2!$A:$B,2,0),"공동과책 확인")</f>
        <v>Bae, Hyun-Joo</v>
      </c>
      <c r="P140" t="str">
        <v>Environmental Health</v>
      </c>
      <c r="Q140" t="str">
        <v>AI and Environmental Informatics</v>
      </c>
      <c r="R140" t="str">
        <f>IFERROR(VLOOKUP($I140,[1]DB2!$F$2:$I$58,2,0),"옛날 부서명 확인")</f>
        <v xml:space="preserve">Environmental Health Division </v>
      </c>
      <c r="S140" t="str">
        <f>IFERROR(VLOOKUP($I140,[1]DB2!$F$2:$I$58,4,0),"옛날 부서명 확인")</f>
        <v xml:space="preserve">Sustainable Development Research Group  </v>
      </c>
    </row>
    <row r="141">
      <c r="A141" t="str">
        <v>191</v>
      </c>
      <c r="B141" t="str">
        <v>수탁과제</v>
      </c>
      <c r="C141" t="str">
        <v>2025-057</v>
      </c>
      <c r="D141" t="str">
        <v>2035 NDC 경제적 효과분석(II)</v>
      </c>
      <c r="F141" t="str">
        <v>10340</v>
      </c>
      <c r="G141" t="str">
        <v>문종우</v>
      </c>
      <c r="H141" t="str">
        <v>202508197</v>
      </c>
      <c r="I141" t="str">
        <v>탄소중립연구실</v>
      </c>
      <c r="J141">
        <v>40000000</v>
      </c>
      <c r="K141" s="1" t="d">
        <v>2025-03-25T23:59:08.000Z</v>
      </c>
      <c r="L141" s="1" t="d">
        <v>2026-01-25T23:59:08.000Z</v>
      </c>
      <c r="M141" t="str">
        <v>환경부 온실가스종합정보센터</v>
      </c>
      <c r="N141" t="str">
        <v>Economic Impact Analysis of the 2035 NDC (II)</v>
      </c>
      <c r="O141" t="str">
        <f>IFERROR(VLOOKUP($G141,[1]DB2!$A:$B,2,0),"공동과책 확인")</f>
        <v xml:space="preserve">Moon, Jongwoo </v>
      </c>
      <c r="P141" t="str">
        <v>Environmental Economics</v>
      </c>
      <c r="Q141" t="str">
        <v>Carbon Neutrality and Energy</v>
      </c>
      <c r="R141" t="str">
        <f>IFERROR(VLOOKUP($I141,[1]DB2!$F$2:$I$58,2,0),"옛날 부서명 확인")</f>
        <v xml:space="preserve">Carbon Neutrality Division </v>
      </c>
      <c r="S141" t="str">
        <f>IFERROR(VLOOKUP($I141,[1]DB2!$F$2:$I$58,4,0),"옛날 부서명 확인")</f>
        <v xml:space="preserve">Climate and Atmospheric Strategy Research Group  </v>
      </c>
    </row>
    <row r="142">
      <c r="A142" t="str">
        <v>192</v>
      </c>
      <c r="B142" t="str">
        <v>수탁과제</v>
      </c>
      <c r="C142" t="str">
        <v>2025-046</v>
      </c>
      <c r="D142" t="str">
        <v>녹색산업계정 시범편제 연구</v>
      </c>
      <c r="F142" t="str">
        <v>10139</v>
      </c>
      <c r="G142" t="str">
        <v>김종호</v>
      </c>
      <c r="H142" t="str">
        <v>202508204</v>
      </c>
      <c r="I142" t="str">
        <v>순환경제연구실</v>
      </c>
      <c r="J142">
        <v>227270000</v>
      </c>
      <c r="K142" s="1" t="d">
        <v>2025-03-30T23:59:08.000Z</v>
      </c>
      <c r="L142" s="1" t="d">
        <v>2025-12-30T23:59:08.000Z</v>
      </c>
      <c r="M142" t="str">
        <v>환경부 녹색기술개발과</v>
      </c>
      <c r="N142" t="str">
        <v>Pilot Compilation of Environmental Goods and Services Sector Accounts</v>
      </c>
      <c r="O142" t="str">
        <f>IFERROR(VLOOKUP($G142,[1]DB2!$A:$B,2,0),"공동과책 확인")</f>
        <v>Kim, Jongho</v>
      </c>
      <c r="P142" t="str">
        <v>Environmental Economics</v>
      </c>
      <c r="Q142" t="str">
        <v>AI and Environmental Informatics</v>
      </c>
      <c r="R142" t="str">
        <f>IFERROR(VLOOKUP($I142,[1]DB2!$F$2:$I$58,2,0),"옛날 부서명 확인")</f>
        <v xml:space="preserve">Circular Economy Division </v>
      </c>
      <c r="S142" t="str">
        <f>IFERROR(VLOOKUP($I142,[1]DB2!$F$2:$I$58,4,0),"옛날 부서명 확인")</f>
        <v xml:space="preserve">Sustainable Development Research Group  </v>
      </c>
    </row>
    <row r="143">
      <c r="A143" t="str">
        <v>193</v>
      </c>
      <c r="B143" t="str">
        <v>수탁과제</v>
      </c>
      <c r="C143" t="str">
        <v>2025-047</v>
      </c>
      <c r="D143" t="str">
        <v>조류생태보전과 항공안전의 공존을 위한 공항 조류 충돌 예방 및 관리 강화방안 마련 연구</v>
      </c>
      <c r="F143" t="str">
        <v>10304</v>
      </c>
      <c r="G143" t="str">
        <v>이후승</v>
      </c>
      <c r="H143" t="str">
        <v>202508192</v>
      </c>
      <c r="I143" t="str">
        <v>자연환경연구실</v>
      </c>
      <c r="J143">
        <v>49700000</v>
      </c>
      <c r="K143" s="1" t="d">
        <v>2025-03-31T23:59:08.000Z</v>
      </c>
      <c r="L143" s="1" t="d">
        <v>2025-09-26T23:59:08.000Z</v>
      </c>
      <c r="M143" t="str">
        <v>환경부</v>
      </c>
      <c r="N143" t="str">
        <v>Strengthening Airport Bird Strike Prevention and Management to Balance Avian Conservation and Aviation Safety</v>
      </c>
      <c r="O143" t="str">
        <f>IFERROR(VLOOKUP($G143,[1]DB2!$A:$B,2,0),"공동과책 확인")</f>
        <v>Lee, Who-Seung</v>
      </c>
      <c r="P143" t="str">
        <v>Ecology</v>
      </c>
      <c r="Q143" t="str">
        <v>Land and Urban Environment</v>
      </c>
      <c r="R143" t="str">
        <f>IFERROR(VLOOKUP($I143,[1]DB2!$F$2:$I$58,2,0),"옛날 부서명 확인")</f>
        <v xml:space="preserve">Natural Environment Division </v>
      </c>
      <c r="S143" t="str">
        <f>IFERROR(VLOOKUP($I143,[1]DB2!$F$2:$I$58,4,0),"옛날 부서명 확인")</f>
        <v xml:space="preserve">Land and Environment Research Group </v>
      </c>
    </row>
    <row r="144">
      <c r="A144" t="str">
        <v>194</v>
      </c>
      <c r="B144" t="str">
        <v>수탁과제</v>
      </c>
      <c r="C144" t="str">
        <v>2025-048</v>
      </c>
      <c r="D144" t="str">
        <v>환경영향평가등 평가준비서 디지털 표준화 연구</v>
      </c>
      <c r="F144" t="str">
        <v>10291</v>
      </c>
      <c r="G144" t="str">
        <v>지민규</v>
      </c>
      <c r="H144" t="str">
        <v>202508206</v>
      </c>
      <c r="I144" t="str">
        <v>사회기반평가실</v>
      </c>
      <c r="J144">
        <v>39400000</v>
      </c>
      <c r="K144" s="1" t="d">
        <v>2025-03-31T23:59:08.000Z</v>
      </c>
      <c r="L144" s="1" t="d">
        <v>2025-11-25T23:59:08.000Z</v>
      </c>
      <c r="M144" t="str">
        <v>환경부</v>
      </c>
      <c r="N144" t="str">
        <v>Digital Standardization of Preparatory Documents for EIA</v>
      </c>
      <c r="O144" t="str">
        <f>IFERROR(VLOOKUP($G144,[1]DB2!$A:$B,2,0),"공동과책 확인")</f>
        <v>Ji, Min-Kyu</v>
      </c>
      <c r="P144" t="str">
        <v>Environmental Assessment</v>
      </c>
      <c r="Q144" t="str">
        <v>AI and Environmental Informatics</v>
      </c>
      <c r="R144" t="str">
        <f>IFERROR(VLOOKUP($I144,[1]DB2!$F$2:$I$58,2,0),"옛날 부서명 확인")</f>
        <v xml:space="preserve">Social Infrastructure Assessment Division </v>
      </c>
      <c r="S144" t="str">
        <f>IFERROR(VLOOKUP($I144,[1]DB2!$F$2:$I$58,4,0),"옛날 부서명 확인")</f>
        <v xml:space="preserve">Environmental Assessment Group </v>
      </c>
    </row>
    <row r="145">
      <c r="A145" t="str">
        <v>195</v>
      </c>
      <c r="B145" t="str">
        <v>수탁과제</v>
      </c>
      <c r="C145" t="str">
        <v>2025-055(R)</v>
      </c>
      <c r="D145" t="str">
        <v>산사태 발생 우려지역 스마트 조사 기술 개발(1차년도)</v>
      </c>
      <c r="F145" t="str">
        <v>10281</v>
      </c>
      <c r="G145" t="str">
        <v>김근한</v>
      </c>
      <c r="H145" t="str">
        <v>202508205</v>
      </c>
      <c r="I145" t="str">
        <v>국토관리연구실</v>
      </c>
      <c r="J145">
        <v>105000000</v>
      </c>
      <c r="K145" s="1" t="d">
        <v>2025-03-31T23:59:08.000Z</v>
      </c>
      <c r="L145" s="1" t="d">
        <v>2025-12-30T23:59:08.000Z</v>
      </c>
      <c r="M145" t="str">
        <v>한국임업진흥원</v>
      </c>
      <c r="N145" t="str">
        <v>Development of Smart Survey Technology for Areas Vulnerable to Landslides (Year 1)</v>
      </c>
      <c r="O145" t="str">
        <f>IFERROR(VLOOKUP($G145,[1]DB2!$A:$B,2,0),"공동과책 확인")</f>
        <v xml:space="preserve">Kim, Geunhan </v>
      </c>
      <c r="P145" t="str">
        <v>Land and Urban Environment</v>
      </c>
      <c r="Q145" t="str">
        <v>AI and Environmental Informatics</v>
      </c>
      <c r="R145" t="str">
        <f>IFERROR(VLOOKUP($I145,[1]DB2!$F$2:$I$58,2,0),"옛날 부서명 확인")</f>
        <v>Spatial Planning and Management Division</v>
      </c>
      <c r="S145" t="str">
        <f>IFERROR(VLOOKUP($I145,[1]DB2!$F$2:$I$58,4,0),"옛날 부서명 확인")</f>
        <v xml:space="preserve">Land and Environment Research Group </v>
      </c>
    </row>
    <row r="146">
      <c r="A146" t="str">
        <v>196</v>
      </c>
      <c r="B146" t="str">
        <v>수탁과제</v>
      </c>
      <c r="C146" t="str">
        <v>2025-060(R)</v>
      </c>
      <c r="D146" t="str">
        <v>아열대 해양환경적응 시나리오개발 대응책 및 활용체계 구축(1차년도)</v>
      </c>
      <c r="F146" t="str">
        <v>10300</v>
      </c>
      <c r="G146" t="str">
        <v>구경아</v>
      </c>
      <c r="H146" t="str">
        <v>202508192</v>
      </c>
      <c r="I146" t="str">
        <v>자연환경연구실</v>
      </c>
      <c r="J146">
        <v>150000000</v>
      </c>
      <c r="K146" s="1" t="d">
        <v>2025-03-31T23:59:08.000Z</v>
      </c>
      <c r="L146" s="1" t="d">
        <v>2025-12-30T23:59:08.000Z</v>
      </c>
      <c r="M146" t="str">
        <v>해양수산과학기술진흥원</v>
      </c>
      <c r="N146" t="str">
        <v>Development of Adaptation Strategies for Marine Environments in Response to Subtropicalization: Scenarios, Solutions, and Utilization (Year 1)</v>
      </c>
      <c r="O146" t="str">
        <f>IFERROR(VLOOKUP($G146,[1]DB2!$A:$B,2,0),"공동과책 확인")</f>
        <v xml:space="preserve">Koo, Kyung Ah </v>
      </c>
      <c r="P146" t="str">
        <v>Climate Adaptation</v>
      </c>
      <c r="Q146" t="str">
        <v>Marine Environment</v>
      </c>
      <c r="R146" t="str">
        <f>IFERROR(VLOOKUP($I146,[1]DB2!$F$2:$I$58,2,0),"옛날 부서명 확인")</f>
        <v xml:space="preserve">Natural Environment Division </v>
      </c>
      <c r="S146" t="str">
        <f>IFERROR(VLOOKUP($I146,[1]DB2!$F$2:$I$58,4,0),"옛날 부서명 확인")</f>
        <v xml:space="preserve">Land and Environment Research Group </v>
      </c>
    </row>
    <row r="147">
      <c r="A147" t="str">
        <v>197</v>
      </c>
      <c r="B147" t="str">
        <v>수탁과제</v>
      </c>
      <c r="C147" t="str">
        <v>2025-064(R)</v>
      </c>
      <c r="D147" t="str">
        <v>수생태계 서비스 평가지표 개발 및 가치평가 기술개발(1차년도)</v>
      </c>
      <c r="F147" t="str">
        <v>10228</v>
      </c>
      <c r="G147" t="str">
        <v>강성원</v>
      </c>
      <c r="H147" t="str">
        <v>202508095</v>
      </c>
      <c r="I147" t="str">
        <v>녹색경제연구실</v>
      </c>
      <c r="J147">
        <v>300000000</v>
      </c>
      <c r="K147" s="1" t="d">
        <v>2025-03-31T23:59:08.000Z</v>
      </c>
      <c r="L147" s="1" t="d">
        <v>2025-12-30T23:59:08.000Z</v>
      </c>
      <c r="M147" t="str">
        <v>한국환경산업기술원</v>
      </c>
      <c r="N147" t="str">
        <v>Developing Assessment Indicators and Valuation Technologies for Aquatic Ecosystem Services (Year 1)</v>
      </c>
      <c r="O147" t="str">
        <f>IFERROR(VLOOKUP($G147,[1]DB2!$A:$B,2,0),"공동과책 확인")</f>
        <v>Kang, Sungwon</v>
      </c>
      <c r="P147" t="str">
        <v>Environmental Economics</v>
      </c>
      <c r="Q147" t="str">
        <v>Ecology</v>
      </c>
      <c r="R147" t="str">
        <f>IFERROR(VLOOKUP($I147,[1]DB2!$F$2:$I$58,2,0),"옛날 부서명 확인")</f>
        <v xml:space="preserve">Green Economy Division </v>
      </c>
      <c r="S147" t="str">
        <f>IFERROR(VLOOKUP($I147,[1]DB2!$F$2:$I$58,4,0),"옛날 부서명 확인")</f>
        <v xml:space="preserve">Climate and Atmospheric Strategy Research Group  </v>
      </c>
    </row>
    <row r="148">
      <c r="A148" t="str">
        <v>198</v>
      </c>
      <c r="B148" t="str">
        <v>수탁과제</v>
      </c>
      <c r="C148" t="str">
        <v>2025-071(R)</v>
      </c>
      <c r="D148" t="str">
        <v>시민참여형 기후 적응 최적화를 위한 시민·사회·경제·환경 데이터 분석을 통한 정책평가기술 개발(1차년도)</v>
      </c>
      <c r="F148" t="str">
        <v>10146</v>
      </c>
      <c r="G148" t="str">
        <v>채여라</v>
      </c>
      <c r="H148" t="str">
        <v>202508197</v>
      </c>
      <c r="I148" t="str">
        <v>탄소중립연구실</v>
      </c>
      <c r="J148">
        <v>700000000</v>
      </c>
      <c r="K148" s="1" t="d">
        <v>2025-03-31T23:59:08.000Z</v>
      </c>
      <c r="L148" s="1" t="d">
        <v>2025-12-30T23:59:08.000Z</v>
      </c>
      <c r="M148" t="str">
        <v>한국환경산업기술원</v>
      </c>
      <c r="N148" t="str">
        <v>Developing Policy Evaluation Techniques Using Citizen, Social, Economic, and Environmental Data for Citizen-Participatory Climate Adaptation (Year 1)</v>
      </c>
      <c r="O148" t="str">
        <f>IFERROR(VLOOKUP($G148,[1]DB2!$A:$B,2,0),"공동과책 확인")</f>
        <v>Chae, Yeora</v>
      </c>
      <c r="P148" t="str">
        <v>Climate Adaptation</v>
      </c>
      <c r="Q148" t="str">
        <v>Socio-Environmental Interface</v>
      </c>
      <c r="R148" t="str">
        <f>IFERROR(VLOOKUP($I148,[1]DB2!$F$2:$I$58,2,0),"옛날 부서명 확인")</f>
        <v xml:space="preserve">Carbon Neutrality Division </v>
      </c>
      <c r="S148" t="str">
        <f>IFERROR(VLOOKUP($I148,[1]DB2!$F$2:$I$58,4,0),"옛날 부서명 확인")</f>
        <v xml:space="preserve">Climate and Atmospheric Strategy Research Group  </v>
      </c>
    </row>
    <row r="149">
      <c r="A149" t="str">
        <v>199</v>
      </c>
      <c r="B149" t="str">
        <v>수탁과제</v>
      </c>
      <c r="C149" t="str">
        <v>2025-072(R)</v>
      </c>
      <c r="D149" t="str">
        <v>스마트 및 지속가능 도시 표준화 기반 조성 및 탄소중립 도시 관련 국제표준 개발(1차년도)</v>
      </c>
      <c r="F149" t="str">
        <v>10283</v>
      </c>
      <c r="G149" t="str">
        <v>송지윤</v>
      </c>
      <c r="H149" t="str">
        <v>202508124</v>
      </c>
      <c r="I149" t="str">
        <v>기후적응정책실</v>
      </c>
      <c r="J149">
        <v>37500000</v>
      </c>
      <c r="K149" s="1" t="d">
        <v>2025-03-31T23:59:08.000Z</v>
      </c>
      <c r="L149" s="1" t="d">
        <v>2028-12-30T23:59:08.000Z</v>
      </c>
      <c r="M149" t="str">
        <v>한국산업기술기획평가원</v>
      </c>
      <c r="N149" t="str">
        <v>Establishment of a Standardization Foundation for Smart and Sustainable Cities and Communities and Development of International Standards Related to Carbon-neutral Cities (Year 1)</v>
      </c>
      <c r="O149" t="str">
        <f>IFERROR(VLOOKUP($G149,[1]DB2!$A:$B,2,0),"공동과책 확인")</f>
        <v xml:space="preserve">Song, Jiyoon </v>
      </c>
      <c r="P149" t="str">
        <v>Land and Urban Environment</v>
      </c>
      <c r="Q149" t="str">
        <v>Carbon Neutrality and Energy</v>
      </c>
      <c r="R149" t="str">
        <f>IFERROR(VLOOKUP($I149,[1]DB2!$F$2:$I$58,2,0),"옛날 부서명 확인")</f>
        <v xml:space="preserve">Climate Adaptation Policy Division </v>
      </c>
      <c r="S149" t="str">
        <f>IFERROR(VLOOKUP($I149,[1]DB2!$F$2:$I$58,4,0),"옛날 부서명 확인")</f>
        <v xml:space="preserve">Korea Adaptation Center for Climate Change </v>
      </c>
    </row>
    <row r="150">
      <c r="A150" t="str">
        <v>200</v>
      </c>
      <c r="B150" t="str">
        <v>수탁과제</v>
      </c>
      <c r="C150" t="str">
        <v>2025-079</v>
      </c>
      <c r="D150" t="str">
        <v>대규모 건강 코호트를 활용한 미세먼지 등 대기오염 노출 건강 영향 연구(1차)</v>
      </c>
      <c r="F150" t="str">
        <v>10228</v>
      </c>
      <c r="G150" t="str">
        <v>강성원</v>
      </c>
      <c r="H150" t="str">
        <v>202508095</v>
      </c>
      <c r="I150" t="str">
        <v>녹색경제연구실</v>
      </c>
      <c r="J150">
        <v>90909090</v>
      </c>
      <c r="K150" s="1" t="d">
        <v>2025-03-31T23:59:08.000Z</v>
      </c>
      <c r="L150" s="1" t="d">
        <v>2025-12-30T23:59:08.000Z</v>
      </c>
      <c r="M150" t="str">
        <v>국립보건연구원</v>
      </c>
      <c r="N150" t="str">
        <v>Study on the Health Effects of Fine Dust and Other Air Pollutants Using a Large-Scale Cohort Study (Phase 1)</v>
      </c>
      <c r="O150" t="str">
        <f>IFERROR(VLOOKUP($G150,[1]DB2!$A:$B,2,0),"공동과책 확인")</f>
        <v>Kang, Sungwon</v>
      </c>
      <c r="P150" t="str">
        <v>Environmental Health</v>
      </c>
      <c r="Q150" t="str">
        <v>Atmospheric Environment</v>
      </c>
      <c r="R150" t="str">
        <f>IFERROR(VLOOKUP($I150,[1]DB2!$F$2:$I$58,2,0),"옛날 부서명 확인")</f>
        <v xml:space="preserve">Green Economy Division </v>
      </c>
      <c r="S150" t="str">
        <f>IFERROR(VLOOKUP($I150,[1]DB2!$F$2:$I$58,4,0),"옛날 부서명 확인")</f>
        <v xml:space="preserve">Climate and Atmospheric Strategy Research Group  </v>
      </c>
    </row>
    <row r="151">
      <c r="A151" t="str">
        <v>201</v>
      </c>
      <c r="B151" t="str">
        <v>수탁과제</v>
      </c>
      <c r="C151" t="str">
        <v>2025-101(R)</v>
      </c>
      <c r="D151" t="str">
        <v>지반변위 고려 급경사지 재해 위험성 분석기술 개발(1차년도)</v>
      </c>
      <c r="F151" t="str">
        <v>10317</v>
      </c>
      <c r="G151" t="str">
        <v>이승수</v>
      </c>
      <c r="H151" t="str">
        <v>202508190</v>
      </c>
      <c r="I151" t="str">
        <v>물관리연구실</v>
      </c>
      <c r="J151">
        <v>70000000</v>
      </c>
      <c r="K151" s="1" t="d">
        <v>2025-03-31T23:59:08.000Z</v>
      </c>
      <c r="L151" s="1" t="d">
        <v>2025-12-30T23:59:08.000Z</v>
      </c>
      <c r="M151" t="str">
        <v>한국산업기술기획평가원</v>
      </c>
      <c r="N151" t="str">
        <v>Development of Disaster Risk Analysis Technology for Steep Slopes Considering Ground Displacement (Year 1)</v>
      </c>
      <c r="O151" t="str">
        <f>IFERROR(VLOOKUP($G151,[1]DB2!$A:$B,2,0),"공동과책 확인")</f>
        <v xml:space="preserve">Lee, Seungsoo </v>
      </c>
      <c r="P151" t="str">
        <v>Land and Urban Environment</v>
      </c>
      <c r="R151" t="str">
        <f>IFERROR(VLOOKUP($I151,[1]DB2!$F$2:$I$58,2,0),"옛날 부서명 확인")</f>
        <v xml:space="preserve">Water Management Division </v>
      </c>
      <c r="S151" t="str">
        <f>IFERROR(VLOOKUP($I151,[1]DB2!$F$2:$I$58,4,0),"옛날 부서명 확인")</f>
        <v xml:space="preserve">Land and Environment Research Group </v>
      </c>
    </row>
    <row r="152">
      <c r="A152" t="str">
        <v>204</v>
      </c>
      <c r="B152" t="str">
        <v>연구개발적립금</v>
      </c>
      <c r="C152" t="str">
        <v>RR2025-01</v>
      </c>
      <c r="D152" t="str">
        <v>물환경 보전을 위한 댐 건설 추진과 관리 개선 연구 - 기후대응댐 사례를 중심으로</v>
      </c>
      <c r="F152" t="str">
        <v>10319</v>
      </c>
      <c r="G152" t="str">
        <v>전동진</v>
      </c>
      <c r="H152" t="str">
        <v>202508190</v>
      </c>
      <c r="I152" t="str">
        <v>물관리연구실</v>
      </c>
      <c r="J152">
        <v>15000000</v>
      </c>
      <c r="K152" s="1" t="d">
        <v>2025-03-31T23:59:08.000Z</v>
      </c>
      <c r="L152" s="1" t="d">
        <v>2025-09-29T23:59:08.000Z</v>
      </c>
      <c r="N152" t="str">
        <v>A Study on the Promotion of Dam Construction and Management Improvement for Water Environment Conservation : Focusing on Cases of Climate-Adaptive Dams</v>
      </c>
      <c r="O152" t="str">
        <f>IFERROR(VLOOKUP($G152,[1]DB2!$A:$B,2,0),"공동과책 확인")</f>
        <v>Jeon, Dongjin</v>
      </c>
      <c r="P152" t="str">
        <v>Water Management</v>
      </c>
      <c r="Q152" t="str">
        <v>Climate Adaptation</v>
      </c>
      <c r="R152" t="str">
        <f>IFERROR(VLOOKUP($I152,[1]DB2!$F$2:$I$58,2,0),"옛날 부서명 확인")</f>
        <v xml:space="preserve">Water Management Division </v>
      </c>
      <c r="S152" t="str">
        <f>IFERROR(VLOOKUP($I152,[1]DB2!$F$2:$I$58,4,0),"옛날 부서명 확인")</f>
        <v xml:space="preserve">Land and Environment Research Group </v>
      </c>
    </row>
    <row r="153">
      <c r="A153" t="str">
        <v>205</v>
      </c>
      <c r="B153" t="str">
        <v>연구개발적립금</v>
      </c>
      <c r="C153" t="str">
        <v>RR2025-02</v>
      </c>
      <c r="D153" t="str">
        <v>국가 순환바이오경제전략 수립 방안 연구</v>
      </c>
      <c r="F153" t="str">
        <v>10313</v>
      </c>
      <c r="G153" t="str">
        <v>주문솔</v>
      </c>
      <c r="H153" t="str">
        <v>202508204</v>
      </c>
      <c r="I153" t="str">
        <v>순환경제연구실</v>
      </c>
      <c r="J153">
        <v>15000000</v>
      </c>
      <c r="K153" s="1" t="d">
        <v>2025-03-31T23:59:08.000Z</v>
      </c>
      <c r="L153" s="1" t="d">
        <v>2025-09-29T23:59:08.000Z</v>
      </c>
      <c r="N153" t="str">
        <v>Study on the Establishment of a National Circular Bioeconomy Strategy</v>
      </c>
      <c r="O153" t="str">
        <f>IFERROR(VLOOKUP($G153,[1]DB2!$A:$B,2,0),"공동과책 확인")</f>
        <v xml:space="preserve">Ju, Munsol </v>
      </c>
      <c r="P153" t="str">
        <v>Circular Economy</v>
      </c>
      <c r="Q153" t="str">
        <v>Environmental Economics</v>
      </c>
      <c r="R153" t="str">
        <f>IFERROR(VLOOKUP($I153,[1]DB2!$F$2:$I$58,2,0),"옛날 부서명 확인")</f>
        <v xml:space="preserve">Circular Economy Division </v>
      </c>
      <c r="S153" t="str">
        <f>IFERROR(VLOOKUP($I153,[1]DB2!$F$2:$I$58,4,0),"옛날 부서명 확인")</f>
        <v xml:space="preserve">Sustainable Development Research Group  </v>
      </c>
    </row>
    <row r="154">
      <c r="A154" t="str">
        <v>206</v>
      </c>
      <c r="B154" t="str">
        <v>연구개발적립금</v>
      </c>
      <c r="C154" t="str">
        <v>RR2025-03</v>
      </c>
      <c r="D154" t="str">
        <v>지하수저류댐 용수의 합리적 이용을 위한 정책과제와 추진방향</v>
      </c>
      <c r="F154" t="str">
        <v>10226</v>
      </c>
      <c r="G154" t="str">
        <v>현윤정</v>
      </c>
      <c r="H154" t="str">
        <v>202508190</v>
      </c>
      <c r="I154" t="str">
        <v>물관리연구실</v>
      </c>
      <c r="J154">
        <v>15000000</v>
      </c>
      <c r="K154" s="1" t="d">
        <v>2025-03-31T23:59:08.000Z</v>
      </c>
      <c r="L154" s="1" t="d">
        <v>2025-09-29T23:59:08.000Z</v>
      </c>
      <c r="N154" t="str">
        <v>Policy Tasks and Directions for the Rational Use of Groundwater Dam Water</v>
      </c>
      <c r="O154" t="str">
        <f>IFERROR(VLOOKUP($G154,[1]DB2!$A:$B,2,0),"공동과책 확인")</f>
        <v>Hyun, Yunjung</v>
      </c>
      <c r="P154" t="str">
        <v>Water Management</v>
      </c>
      <c r="Q154" t="str">
        <v>Land and Urban Environment</v>
      </c>
      <c r="R154" t="str">
        <f>IFERROR(VLOOKUP($I154,[1]DB2!$F$2:$I$58,2,0),"옛날 부서명 확인")</f>
        <v xml:space="preserve">Water Management Division </v>
      </c>
      <c r="S154" t="str">
        <f>IFERROR(VLOOKUP($I154,[1]DB2!$F$2:$I$58,4,0),"옛날 부서명 확인")</f>
        <v xml:space="preserve">Land and Environment Research Group </v>
      </c>
    </row>
    <row r="155">
      <c r="A155" t="str">
        <v>207</v>
      </c>
      <c r="B155" t="str">
        <v>연구개발적립금</v>
      </c>
      <c r="C155" t="str">
        <v>RR2025-04</v>
      </c>
      <c r="D155" t="str">
        <v>수송 부문 비배기 배출로 인한 대기질 영향과 관리방안</v>
      </c>
      <c r="F155" t="str">
        <v>10311</v>
      </c>
      <c r="G155" t="str">
        <v>최기철</v>
      </c>
      <c r="H155" t="str">
        <v>202508187</v>
      </c>
      <c r="I155" t="str">
        <v>대기환경연구실</v>
      </c>
      <c r="J155">
        <v>15000000</v>
      </c>
      <c r="K155" s="1" t="d">
        <v>2025-03-31T23:59:08.000Z</v>
      </c>
      <c r="L155" s="1" t="d">
        <v>2025-09-29T23:59:08.000Z</v>
      </c>
      <c r="N155" t="str">
        <v>Air Quality Impacts and Management of Non-Exhaust Emissions in the Transportation Sector</v>
      </c>
      <c r="O155" t="str">
        <f>IFERROR(VLOOKUP($G155,[1]DB2!$A:$B,2,0),"공동과책 확인")</f>
        <v>Choi, Ki-Chul</v>
      </c>
      <c r="P155" t="str">
        <v>Atmospheric Environment</v>
      </c>
      <c r="Q155" t="str">
        <v>Environmental Health</v>
      </c>
      <c r="R155" t="str">
        <f>IFERROR(VLOOKUP($I155,[1]DB2!$F$2:$I$58,2,0),"옛날 부서명 확인")</f>
        <v>Atmospheric Environment Division</v>
      </c>
      <c r="S155" t="str">
        <f>IFERROR(VLOOKUP($I155,[1]DB2!$F$2:$I$58,4,0),"옛날 부서명 확인")</f>
        <v xml:space="preserve">Climate and Atmospheric Strategy Research Group  </v>
      </c>
    </row>
    <row r="156">
      <c r="A156" t="str">
        <v>208</v>
      </c>
      <c r="B156" t="str">
        <v>수탁과제</v>
      </c>
      <c r="C156" t="str">
        <v>2025-049</v>
      </c>
      <c r="D156" t="str">
        <v>지자체 환경계획 승인 체계 마련 연구</v>
      </c>
      <c r="F156" t="str">
        <v>10186</v>
      </c>
      <c r="G156" t="str">
        <v>최희선,이지영</v>
      </c>
      <c r="H156" t="str">
        <v>202508205</v>
      </c>
      <c r="I156" t="str">
        <v>국토관리연구실</v>
      </c>
      <c r="J156">
        <v>69300000</v>
      </c>
      <c r="K156" s="1" t="d">
        <v>2025-04-03T23:59:08.000Z</v>
      </c>
      <c r="L156" s="1" t="d">
        <v>2025-11-29T23:59:08.000Z</v>
      </c>
      <c r="M156" t="str">
        <v>환경부</v>
      </c>
      <c r="N156" t="str">
        <v>Establishing an Approval System for Local Government Environmental Plans</v>
      </c>
      <c r="O156" t="str">
        <v>Choi, Hee-Sun and Lee, Jiyoung</v>
      </c>
      <c r="P156" t="str">
        <v>Land and Urban Environment</v>
      </c>
      <c r="R156" t="str">
        <f>IFERROR(VLOOKUP($I156,[1]DB2!$F$2:$I$58,2,0),"옛날 부서명 확인")</f>
        <v>Spatial Planning and Management Division</v>
      </c>
      <c r="S156" t="str">
        <f>IFERROR(VLOOKUP($I156,[1]DB2!$F$2:$I$58,4,0),"옛날 부서명 확인")</f>
        <v xml:space="preserve">Land and Environment Research Group </v>
      </c>
    </row>
    <row r="157">
      <c r="A157" t="str">
        <v>209</v>
      </c>
      <c r="B157" t="str">
        <v>수탁과제</v>
      </c>
      <c r="C157" t="str">
        <v>2025-050</v>
      </c>
      <c r="D157" t="str">
        <v>제1차 미세먼지 관리 종합계획 최종평가 및 제2차 종합계획 평가 기반 마련 연구</v>
      </c>
      <c r="F157" t="str">
        <v>10348</v>
      </c>
      <c r="G157" t="str">
        <v>한지현</v>
      </c>
      <c r="H157" t="str">
        <v>202508187</v>
      </c>
      <c r="I157" t="str">
        <v>대기환경연구실</v>
      </c>
      <c r="J157">
        <v>90909090</v>
      </c>
      <c r="K157" s="1" t="d">
        <v>2025-04-03T23:59:08.000Z</v>
      </c>
      <c r="L157" s="1" t="d">
        <v>2025-12-18T23:59:08.000Z</v>
      </c>
      <c r="M157" t="str">
        <v>국무조정실</v>
      </c>
      <c r="N157" t="str">
        <v>Final Evaluation of the First Comprehensive Plan for Fine Dust Management and Development of the Evaluation Framework for the Second Plan</v>
      </c>
      <c r="O157" t="str">
        <f>IFERROR(VLOOKUP($G157,[1]DB2!$A:$B,2,0),"공동과책 확인")</f>
        <v xml:space="preserve">Han, Jihyun </v>
      </c>
      <c r="P157" t="str">
        <v>Atmospheric Environment</v>
      </c>
      <c r="R157" t="str">
        <f>IFERROR(VLOOKUP($I157,[1]DB2!$F$2:$I$58,2,0),"옛날 부서명 확인")</f>
        <v>Atmospheric Environment Division</v>
      </c>
      <c r="S157" t="str">
        <f>IFERROR(VLOOKUP($I157,[1]DB2!$F$2:$I$58,4,0),"옛날 부서명 확인")</f>
        <v xml:space="preserve">Climate and Atmospheric Strategy Research Group  </v>
      </c>
    </row>
    <row r="158">
      <c r="A158" t="str">
        <v>210</v>
      </c>
      <c r="B158" t="str">
        <v>수탁과제</v>
      </c>
      <c r="C158" t="str">
        <v>2025-051</v>
      </c>
      <c r="D158" t="str">
        <v>가습기살균제 집단합의 관련 연구</v>
      </c>
      <c r="F158" t="str">
        <v>10236</v>
      </c>
      <c r="G158" t="str">
        <v>서양원</v>
      </c>
      <c r="H158" t="str">
        <v>202508178</v>
      </c>
      <c r="I158" t="str">
        <v>지속가능발전연구본부</v>
      </c>
      <c r="J158">
        <v>48190910</v>
      </c>
      <c r="K158" s="1" t="d">
        <v>2025-04-07T23:59:08.000Z</v>
      </c>
      <c r="L158" s="1" t="d">
        <v>2026-02-02T23:59:08.000Z</v>
      </c>
      <c r="M158" t="str">
        <v>환경부</v>
      </c>
      <c r="N158" t="str">
        <v>Study on Collective Settlement Regarding Humidifier Disinfectants</v>
      </c>
      <c r="O158" t="str">
        <f>IFERROR(VLOOKUP($G158,[1]DB2!$A:$B,2,0),"공동과책 확인")</f>
        <v>Suh, Yang-won</v>
      </c>
      <c r="P158" t="str">
        <v>Environmental Health</v>
      </c>
      <c r="Q158" t="str">
        <v>Socio-Environmental Interface</v>
      </c>
      <c r="R158" t="str">
        <f>IFERROR(VLOOKUP($I158,[1]DB2!$F$2:$I$58,2,0),"옛날 부서명 확인")</f>
        <v xml:space="preserve">Sustainable Development Research Group  </v>
      </c>
      <c r="S158" t="str">
        <f>IFERROR(VLOOKUP($I158,[1]DB2!$F$2:$I$58,4,0),"옛날 부서명 확인")</f>
        <v xml:space="preserve">Sustainable Development Research Group  </v>
      </c>
    </row>
    <row r="159">
      <c r="A159" t="str">
        <v>211</v>
      </c>
      <c r="B159" t="str">
        <v>수탁과제</v>
      </c>
      <c r="C159" t="str">
        <v>2025-052</v>
      </c>
      <c r="D159" t="str">
        <v>대기환경관리 기본계획(4개권역) 추진실적 평가 연구</v>
      </c>
      <c r="F159" t="str">
        <v>10260</v>
      </c>
      <c r="G159" t="str">
        <v>이승민</v>
      </c>
      <c r="H159" t="str">
        <v>202508187</v>
      </c>
      <c r="I159" t="str">
        <v>대기환경연구실</v>
      </c>
      <c r="J159">
        <v>220366360</v>
      </c>
      <c r="K159" s="1" t="d">
        <v>2025-04-07T23:59:08.000Z</v>
      </c>
      <c r="L159" s="1" t="d">
        <v>2026-01-02T23:59:08.000Z</v>
      </c>
      <c r="M159" t="str">
        <v>환경부 수도권대기환경청</v>
      </c>
      <c r="N159" t="str">
        <v xml:space="preserve">Performance Evaluation of the Air Quality Control Master Plan in Four Air Control Zones </v>
      </c>
      <c r="O159" t="str">
        <f>IFERROR(VLOOKUP($G159,[1]DB2!$A:$B,2,0),"공동과책 확인")</f>
        <v>Lee, Seungmin</v>
      </c>
      <c r="P159" t="str">
        <v>Atmospheric Environment</v>
      </c>
      <c r="R159" t="str">
        <f>IFERROR(VLOOKUP($I159,[1]DB2!$F$2:$I$58,2,0),"옛날 부서명 확인")</f>
        <v>Atmospheric Environment Division</v>
      </c>
      <c r="S159" t="str">
        <f>IFERROR(VLOOKUP($I159,[1]DB2!$F$2:$I$58,4,0),"옛날 부서명 확인")</f>
        <v xml:space="preserve">Climate and Atmospheric Strategy Research Group  </v>
      </c>
    </row>
    <row r="160">
      <c r="A160" t="str">
        <v>212</v>
      </c>
      <c r="B160" t="str">
        <v>수탁과제</v>
      </c>
      <c r="C160" t="str">
        <v>2025-054</v>
      </c>
      <c r="D160" t="str">
        <v>해양오염사고의 패러다임 전환 대응 차세대 방제자원 확보 전략 연구용역</v>
      </c>
      <c r="F160" t="str">
        <v>10257</v>
      </c>
      <c r="G160" t="str">
        <v>김충기</v>
      </c>
      <c r="H160" t="str">
        <v>202508192</v>
      </c>
      <c r="I160" t="str">
        <v>자연환경연구실</v>
      </c>
      <c r="J160">
        <v>44090900</v>
      </c>
      <c r="K160" s="1" t="d">
        <v>2025-04-08T23:59:08.000Z</v>
      </c>
      <c r="L160" s="1" t="d">
        <v>2025-10-04T23:59:08.000Z</v>
      </c>
      <c r="M160" t="str">
        <v>해양경찰청</v>
      </c>
      <c r="N160" t="str">
        <v>Securing Next-Generation Response Resources to Cope with Paradigm Shifts in Marine Pollution Accidents</v>
      </c>
      <c r="O160" t="str">
        <f>IFERROR(VLOOKUP($G160,[1]DB2!$A:$B,2,0),"공동과책 확인")</f>
        <v>Kim, Choong-ki</v>
      </c>
      <c r="P160" t="str">
        <v>Marine Environment</v>
      </c>
      <c r="R160" t="str">
        <f>IFERROR(VLOOKUP($I160,[1]DB2!$F$2:$I$58,2,0),"옛날 부서명 확인")</f>
        <v xml:space="preserve">Natural Environment Division </v>
      </c>
      <c r="S160" t="str">
        <f>IFERROR(VLOOKUP($I160,[1]DB2!$F$2:$I$58,4,0),"옛날 부서명 확인")</f>
        <v xml:space="preserve">Land and Environment Research Group </v>
      </c>
    </row>
    <row r="161">
      <c r="A161" t="str">
        <v>213</v>
      </c>
      <c r="B161" t="str">
        <v>수탁과제</v>
      </c>
      <c r="C161" t="str">
        <v>2025-058</v>
      </c>
      <c r="D161" t="str">
        <v>물 분야 이니셔티브 활성화를 위한 정책 마련 연구</v>
      </c>
      <c r="F161" t="str">
        <v>10357</v>
      </c>
      <c r="G161" t="str">
        <v>오명진</v>
      </c>
      <c r="H161" t="str">
        <v>202508190</v>
      </c>
      <c r="I161" t="str">
        <v>물관리연구실</v>
      </c>
      <c r="J161">
        <v>177100000</v>
      </c>
      <c r="K161" s="1" t="d">
        <v>2025-04-09T23:59:08.000Z</v>
      </c>
      <c r="L161" s="1" t="d">
        <v>2025-12-04T23:59:08.000Z</v>
      </c>
      <c r="M161" t="str">
        <v>환경부</v>
      </c>
      <c r="N161" t="str">
        <v>Policy Development to Promote Water Sector Initiatives</v>
      </c>
      <c r="O161" t="str">
        <f>IFERROR(VLOOKUP($G161,[1]DB2!$A:$B,2,0),"공동과책 확인")</f>
        <v xml:space="preserve">Oh, Myoungjin </v>
      </c>
      <c r="P161" t="str">
        <v>Water Management</v>
      </c>
      <c r="Q161" t="str">
        <v>Environmental Economics</v>
      </c>
      <c r="R161" t="str">
        <f>IFERROR(VLOOKUP($I161,[1]DB2!$F$2:$I$58,2,0),"옛날 부서명 확인")</f>
        <v xml:space="preserve">Water Management Division </v>
      </c>
      <c r="S161" t="str">
        <f>IFERROR(VLOOKUP($I161,[1]DB2!$F$2:$I$58,4,0),"옛날 부서명 확인")</f>
        <v xml:space="preserve">Land and Environment Research Group </v>
      </c>
    </row>
    <row r="162">
      <c r="A162" t="str">
        <v>214</v>
      </c>
      <c r="B162" t="str">
        <v>수탁과제</v>
      </c>
      <c r="C162" t="str">
        <v>2025-059</v>
      </c>
      <c r="D162" t="str">
        <v>2025년 환경규제 비용·편익 분석 사업</v>
      </c>
      <c r="F162" t="str">
        <v>10191</v>
      </c>
      <c r="G162" t="str">
        <v>신상철</v>
      </c>
      <c r="H162" t="str">
        <v>202508204</v>
      </c>
      <c r="I162" t="str">
        <v>순환경제연구실</v>
      </c>
      <c r="J162">
        <v>151800000</v>
      </c>
      <c r="K162" s="1" t="d">
        <v>2025-04-09T23:59:08.000Z</v>
      </c>
      <c r="L162" s="1" t="d">
        <v>2025-12-07T23:59:08.000Z</v>
      </c>
      <c r="M162" t="str">
        <v>환경부 규제개혁법무담당관실</v>
      </c>
      <c r="N162" t="str">
        <v>The Costs and Benefits of Environmental Regulations in Korea</v>
      </c>
      <c r="O162" t="str">
        <f>IFERROR(VLOOKUP($G162,[1]DB2!$A:$B,2,0),"공동과책 확인")</f>
        <v>Shin, Sang-Cheol</v>
      </c>
      <c r="P162" t="str">
        <v>Environmental Economics</v>
      </c>
      <c r="R162" t="str">
        <f>IFERROR(VLOOKUP($I162,[1]DB2!$F$2:$I$58,2,0),"옛날 부서명 확인")</f>
        <v xml:space="preserve">Circular Economy Division </v>
      </c>
      <c r="S162" t="str">
        <f>IFERROR(VLOOKUP($I162,[1]DB2!$F$2:$I$58,4,0),"옛날 부서명 확인")</f>
        <v xml:space="preserve">Sustainable Development Research Group  </v>
      </c>
    </row>
    <row r="163">
      <c r="A163" t="str">
        <v>215</v>
      </c>
      <c r="B163" t="str">
        <v>수탁과제</v>
      </c>
      <c r="C163" t="str">
        <v>2025-061</v>
      </c>
      <c r="D163" t="str">
        <v>배터리 재생원료 생산인증 방법론 마련 연구</v>
      </c>
      <c r="F163" t="str">
        <v>10221</v>
      </c>
      <c r="G163" t="str">
        <v>조지혜</v>
      </c>
      <c r="H163" t="str">
        <v>202508204</v>
      </c>
      <c r="I163" t="str">
        <v>순환경제연구실</v>
      </c>
      <c r="J163">
        <v>68700000</v>
      </c>
      <c r="K163" s="1" t="d">
        <v>2025-04-13T23:59:08.000Z</v>
      </c>
      <c r="L163" s="1" t="d">
        <v>2026-01-07T23:59:08.000Z</v>
      </c>
      <c r="M163" t="str">
        <v>환경부</v>
      </c>
      <c r="N163" t="str">
        <v>Study on Methodology for Certification of Recycled Battery Materials Production</v>
      </c>
      <c r="O163" t="str">
        <f>IFERROR(VLOOKUP($G163,[1]DB2!$A:$B,2,0),"공동과책 확인")</f>
        <v>Jo, Ji Hye</v>
      </c>
      <c r="P163" t="str">
        <v>Circular Economy</v>
      </c>
      <c r="R163" t="str">
        <f>IFERROR(VLOOKUP($I163,[1]DB2!$F$2:$I$58,2,0),"옛날 부서명 확인")</f>
        <v xml:space="preserve">Circular Economy Division </v>
      </c>
      <c r="S163" t="str">
        <f>IFERROR(VLOOKUP($I163,[1]DB2!$F$2:$I$58,4,0),"옛날 부서명 확인")</f>
        <v xml:space="preserve">Sustainable Development Research Group  </v>
      </c>
    </row>
    <row r="164">
      <c r="A164" t="str">
        <v>216</v>
      </c>
      <c r="B164" t="str">
        <v>수탁과제</v>
      </c>
      <c r="C164" t="str">
        <v>2025-062</v>
      </c>
      <c r="D164" t="str">
        <v>제4차 자연환경보전기본계획(2026-2035) 수립 연구</v>
      </c>
      <c r="F164" t="str">
        <v>10164</v>
      </c>
      <c r="G164" t="str">
        <v>홍현정</v>
      </c>
      <c r="H164" t="str">
        <v>202508192</v>
      </c>
      <c r="I164" t="str">
        <v>자연환경연구실</v>
      </c>
      <c r="J164">
        <v>190000000</v>
      </c>
      <c r="K164" s="1" t="d">
        <v>2025-04-14T23:59:08.000Z</v>
      </c>
      <c r="L164" s="1" t="d">
        <v>2026-02-07T23:59:08.000Z</v>
      </c>
      <c r="M164" t="str">
        <v>환경부</v>
      </c>
      <c r="N164" t="str">
        <v>Research for the Formulation of the 4th Basic Plan for Conservation of Natural Environment (2026–2035)</v>
      </c>
      <c r="O164" t="str">
        <f>IFERROR(VLOOKUP($G164,[1]DB2!$A:$B,2,0),"공동과책 확인")</f>
        <v>Hong, Hyunjung</v>
      </c>
      <c r="P164" t="str">
        <v>Eoclogy</v>
      </c>
      <c r="Q164" t="str">
        <v>Land and Urban Environment</v>
      </c>
      <c r="R164" t="str">
        <f>IFERROR(VLOOKUP($I164,[1]DB2!$F$2:$I$58,2,0),"옛날 부서명 확인")</f>
        <v xml:space="preserve">Natural Environment Division </v>
      </c>
      <c r="S164" t="str">
        <f>IFERROR(VLOOKUP($I164,[1]DB2!$F$2:$I$58,4,0),"옛날 부서명 확인")</f>
        <v xml:space="preserve">Land and Environment Research Group </v>
      </c>
    </row>
    <row r="165">
      <c r="A165" t="str">
        <v>217</v>
      </c>
      <c r="B165" t="str">
        <v>수탁과제</v>
      </c>
      <c r="C165" t="str">
        <v>2025-063</v>
      </c>
      <c r="D165" t="str">
        <v>공사장 소음 스마트 관리 시스템 개발 기획연구</v>
      </c>
      <c r="F165" t="str">
        <v>10303</v>
      </c>
      <c r="G165" t="str">
        <v>이병권</v>
      </c>
      <c r="H165" t="str">
        <v>202508163</v>
      </c>
      <c r="I165" t="str">
        <v>국토전략평가실</v>
      </c>
      <c r="J165">
        <v>44800000</v>
      </c>
      <c r="K165" s="1" t="d">
        <v>2025-04-16T23:59:08.000Z</v>
      </c>
      <c r="L165" s="1" t="d">
        <v>2025-12-11T23:59:08.000Z</v>
      </c>
      <c r="M165" t="str">
        <v>환경부</v>
      </c>
      <c r="N165" t="str">
        <v>Developing a Smart Construction Noise Management System</v>
      </c>
      <c r="O165" t="str">
        <f>IFERROR(VLOOKUP($G165,[1]DB2!$A:$B,2,0),"공동과책 확인")</f>
        <v>Lee, Byungkwon</v>
      </c>
      <c r="P165" t="str">
        <v>Socio-Environmental Interface</v>
      </c>
      <c r="Q165" t="str">
        <v>AI and Environmental Informatics</v>
      </c>
      <c r="R165" t="str">
        <f>IFERROR(VLOOKUP($I165,[1]DB2!$F$2:$I$58,2,0),"옛날 부서명 확인")</f>
        <v xml:space="preserve">Land Strategy Assessment Division </v>
      </c>
      <c r="S165" t="str">
        <f>IFERROR(VLOOKUP($I165,[1]DB2!$F$2:$I$58,4,0),"옛날 부서명 확인")</f>
        <v xml:space="preserve">Environmental Assessment Group </v>
      </c>
    </row>
    <row r="166">
      <c r="A166" t="str">
        <v>218</v>
      </c>
      <c r="B166" t="str">
        <v>수탁과제</v>
      </c>
      <c r="C166" t="str">
        <v>2025-065</v>
      </c>
      <c r="D166" t="str">
        <v>어린이 환경보건 출생코호트 중간평가 및 개선방안 연구</v>
      </c>
      <c r="F166" t="str">
        <v>10297</v>
      </c>
      <c r="G166" t="str">
        <v>정다운</v>
      </c>
      <c r="H166" t="str">
        <v>202508119</v>
      </c>
      <c r="I166" t="str">
        <v>환경보건연구실</v>
      </c>
      <c r="J166">
        <v>169599270</v>
      </c>
      <c r="K166" s="1" t="d">
        <v>2025-04-17T23:59:08.000Z</v>
      </c>
      <c r="L166" s="1" t="d">
        <v>2026-02-11T23:59:08.000Z</v>
      </c>
      <c r="M166" t="str">
        <v>국립환경과학원</v>
      </c>
      <c r="N166" t="str">
        <v>Midterm Evaluation and Improvement Strategies for Korean Children's Environment and Health Study (ko-CHENs)</v>
      </c>
      <c r="O166" t="str">
        <f>IFERROR(VLOOKUP($G166,[1]DB2!$A:$B,2,0),"공동과책 확인")</f>
        <v xml:space="preserve">Jung, Dawoon </v>
      </c>
      <c r="P166" t="str">
        <v>Environmental Health</v>
      </c>
      <c r="Q166" t="str">
        <v>Socio-Environmental Interface</v>
      </c>
      <c r="R166" t="str">
        <f>IFERROR(VLOOKUP($I166,[1]DB2!$F$2:$I$58,2,0),"옛날 부서명 확인")</f>
        <v xml:space="preserve">Environmental Health Division </v>
      </c>
      <c r="S166" t="str">
        <f>IFERROR(VLOOKUP($I166,[1]DB2!$F$2:$I$58,4,0),"옛날 부서명 확인")</f>
        <v xml:space="preserve">Sustainable Development Research Group  </v>
      </c>
    </row>
    <row r="167">
      <c r="A167" t="str">
        <v>219</v>
      </c>
      <c r="B167" t="str">
        <v>수탁과제</v>
      </c>
      <c r="C167" t="str">
        <v>2025-066</v>
      </c>
      <c r="D167" t="str">
        <v>'24년 대기환경관리 시행계획(4개권역) 추진실적 평가 연구용역</v>
      </c>
      <c r="F167" t="str">
        <v>10311</v>
      </c>
      <c r="G167" t="str">
        <v>최기철</v>
      </c>
      <c r="H167" t="str">
        <v>202508187</v>
      </c>
      <c r="I167" t="str">
        <v>대기환경연구실</v>
      </c>
      <c r="J167">
        <v>81800000</v>
      </c>
      <c r="K167" s="1" t="d">
        <v>2025-04-22T23:59:08.000Z</v>
      </c>
      <c r="L167" s="1" t="d">
        <v>2025-12-09T23:59:08.000Z</v>
      </c>
      <c r="M167" t="str">
        <v>영산강유역환경청</v>
      </c>
      <c r="N167" t="str">
        <v>Evaluation of the 2024 Performance of the Air Quality Action Plans in Four Air Control Zones</v>
      </c>
      <c r="O167" t="str">
        <f>IFERROR(VLOOKUP($G167,[1]DB2!$A:$B,2,0),"공동과책 확인")</f>
        <v>Choi, Ki-Chul</v>
      </c>
      <c r="P167" t="str">
        <v>Atmospheric Environment</v>
      </c>
      <c r="R167" t="str">
        <f>IFERROR(VLOOKUP($I167,[1]DB2!$F$2:$I$58,2,0),"옛날 부서명 확인")</f>
        <v>Atmospheric Environment Division</v>
      </c>
      <c r="S167" t="str">
        <f>IFERROR(VLOOKUP($I167,[1]DB2!$F$2:$I$58,4,0),"옛날 부서명 확인")</f>
        <v xml:space="preserve">Climate and Atmospheric Strategy Research Group  </v>
      </c>
    </row>
    <row r="168">
      <c r="A168" t="str">
        <v>220</v>
      </c>
      <c r="B168" t="str">
        <v>수탁과제</v>
      </c>
      <c r="C168" t="str">
        <v>2025-067</v>
      </c>
      <c r="D168" t="str">
        <v>건강영향평가 수행 지원체계 마련 연구</v>
      </c>
      <c r="F168" t="str">
        <v>10161</v>
      </c>
      <c r="G168" t="str">
        <v>하종식</v>
      </c>
      <c r="H168" t="str">
        <v>202508206</v>
      </c>
      <c r="I168" t="str">
        <v>사회기반평가실</v>
      </c>
      <c r="J168">
        <v>49200000</v>
      </c>
      <c r="K168" s="1" t="d">
        <v>2025-04-22T23:59:08.000Z</v>
      </c>
      <c r="L168" s="1" t="d">
        <v>2025-11-29T23:59:08.000Z</v>
      </c>
      <c r="M168" t="str">
        <v>환경부</v>
      </c>
      <c r="N168" t="str">
        <v>Developing a Support Framework for Health Impact Assessment Implementation</v>
      </c>
      <c r="O168" t="str">
        <f>IFERROR(VLOOKUP($G168,[1]DB2!$A:$B,2,0),"공동과책 확인")</f>
        <v>Ha, Jongsik</v>
      </c>
      <c r="P168" t="str">
        <v>Environmental Assessment</v>
      </c>
      <c r="Q168" t="str">
        <v>Environmental Health</v>
      </c>
      <c r="R168" t="str">
        <f>IFERROR(VLOOKUP($I168,[1]DB2!$F$2:$I$58,2,0),"옛날 부서명 확인")</f>
        <v xml:space="preserve">Social Infrastructure Assessment Division </v>
      </c>
      <c r="S168" t="str">
        <f>IFERROR(VLOOKUP($I168,[1]DB2!$F$2:$I$58,4,0),"옛날 부서명 확인")</f>
        <v xml:space="preserve">Environmental Assessment Group </v>
      </c>
    </row>
    <row r="169">
      <c r="A169" t="str">
        <v>221</v>
      </c>
      <c r="B169" t="str">
        <v>수탁과제</v>
      </c>
      <c r="C169" t="str">
        <v>2025-068</v>
      </c>
      <c r="D169" t="str">
        <v>하천·하구 쓰레기 중장기 관리방안 마련 연구</v>
      </c>
      <c r="F169" t="str">
        <v>10342</v>
      </c>
      <c r="G169" t="str">
        <v>김연중</v>
      </c>
      <c r="H169" t="str">
        <v>202508190</v>
      </c>
      <c r="I169" t="str">
        <v>물관리연구실</v>
      </c>
      <c r="J169">
        <v>39600000</v>
      </c>
      <c r="K169" s="1" t="d">
        <v>2025-04-22T23:59:08.000Z</v>
      </c>
      <c r="L169" s="1" t="d">
        <v>2025-11-17T23:59:08.000Z</v>
      </c>
      <c r="M169" t="str">
        <v>환경부</v>
      </c>
      <c r="N169" t="str">
        <v>Development of a Medium- to Long-Term Management Strategy for Waste in Rivers and Estuaries</v>
      </c>
      <c r="O169" t="str">
        <f>IFERROR(VLOOKUP($G169,[1]DB2!$A:$B,2,0),"공동과책 확인")</f>
        <v>Kim, Yeonjoong</v>
      </c>
      <c r="P169" t="str">
        <v>Water Management</v>
      </c>
      <c r="Q169" t="str">
        <v>Circular Economy</v>
      </c>
      <c r="R169" t="str">
        <f>IFERROR(VLOOKUP($I169,[1]DB2!$F$2:$I$58,2,0),"옛날 부서명 확인")</f>
        <v xml:space="preserve">Water Management Division </v>
      </c>
      <c r="S169" t="str">
        <f>IFERROR(VLOOKUP($I169,[1]DB2!$F$2:$I$58,4,0),"옛날 부서명 확인")</f>
        <v xml:space="preserve">Land and Environment Research Group </v>
      </c>
    </row>
    <row r="170">
      <c r="A170" t="str">
        <v>222</v>
      </c>
      <c r="B170" t="str">
        <v>수탁과제</v>
      </c>
      <c r="C170" t="str">
        <v>2025-069</v>
      </c>
      <c r="D170" t="str">
        <v>대기환경보전법 하위법령 정비 방안 연구</v>
      </c>
      <c r="F170" t="str">
        <v>50021</v>
      </c>
      <c r="G170" t="str">
        <v>공성용</v>
      </c>
      <c r="H170" t="str">
        <v>202508187</v>
      </c>
      <c r="I170" t="str">
        <v>대기환경연구실</v>
      </c>
      <c r="J170">
        <v>54000000</v>
      </c>
      <c r="K170" s="1" t="d">
        <v>2025-04-24T23:59:08.000Z</v>
      </c>
      <c r="L170" s="1" t="d">
        <v>2025-11-20T23:59:08.000Z</v>
      </c>
      <c r="M170" t="str">
        <v>환경부 대기관리과</v>
      </c>
      <c r="N170" t="str">
        <v>Revising Subordinate Legislation of the Clean Air Conservation Act</v>
      </c>
      <c r="O170" t="str">
        <f>IFERROR(VLOOKUP($G170,[1]DB2!$A:$B,2,0),"공동과책 확인")</f>
        <v>Gong, Sungyong</v>
      </c>
      <c r="P170" t="str">
        <v>Atmospheric Environment</v>
      </c>
      <c r="R170" t="str">
        <f>IFERROR(VLOOKUP($I170,[1]DB2!$F$2:$I$58,2,0),"옛날 부서명 확인")</f>
        <v>Atmospheric Environment Division</v>
      </c>
      <c r="S170" t="str">
        <f>IFERROR(VLOOKUP($I170,[1]DB2!$F$2:$I$58,4,0),"옛날 부서명 확인")</f>
        <v xml:space="preserve">Climate and Atmospheric Strategy Research Group  </v>
      </c>
    </row>
    <row r="171">
      <c r="A171" t="str">
        <v>223</v>
      </c>
      <c r="B171" t="str">
        <v>수탁과제</v>
      </c>
      <c r="C171" t="str">
        <v>2025-070</v>
      </c>
      <c r="D171" t="str">
        <v>제5차 국가환경종합계획(‘20~’40) 수정계획 수립 연구(II)</v>
      </c>
      <c r="F171" t="str">
        <v>10186</v>
      </c>
      <c r="G171" t="str">
        <v>최희선,박창석</v>
      </c>
      <c r="H171" t="str">
        <v>202508205</v>
      </c>
      <c r="I171" t="str">
        <v>국토관리연구실</v>
      </c>
      <c r="J171">
        <v>161000000</v>
      </c>
      <c r="K171" s="1" t="d">
        <v>2025-04-28T23:59:08.000Z</v>
      </c>
      <c r="L171" s="1" t="d">
        <v>2026-03-30T23:59:08.000Z</v>
      </c>
      <c r="M171" t="str">
        <v>환경부</v>
      </c>
      <c r="N171" t="str">
        <v>Study for Revising the 5th Comprehensive National Environmental Plan (Phase 2)</v>
      </c>
      <c r="O171" t="str">
        <v>Choi, Hee-Sun and Park, Chang Sug</v>
      </c>
      <c r="P171" t="str">
        <v>Land and Urban Environment</v>
      </c>
      <c r="R171" t="str">
        <f>IFERROR(VLOOKUP($I171,[1]DB2!$F$2:$I$58,2,0),"옛날 부서명 확인")</f>
        <v>Spatial Planning and Management Division</v>
      </c>
      <c r="S171" t="str">
        <f>IFERROR(VLOOKUP($I171,[1]DB2!$F$2:$I$58,4,0),"옛날 부서명 확인")</f>
        <v xml:space="preserve">Land and Environment Research Group </v>
      </c>
    </row>
    <row r="172">
      <c r="A172" t="str">
        <v>225</v>
      </c>
      <c r="B172" t="str">
        <v>연구개발적립금</v>
      </c>
      <c r="C172" t="str">
        <v>RI2025-01</v>
      </c>
      <c r="D172" t="str">
        <v>인공지능 활용 환경정책 데이터 허브 구축</v>
      </c>
      <c r="F172" t="str">
        <v>10345</v>
      </c>
      <c r="G172" t="str">
        <v>최광훈</v>
      </c>
      <c r="H172" t="str">
        <v>202508196</v>
      </c>
      <c r="I172" t="str">
        <v>AI데이터팀</v>
      </c>
      <c r="J172">
        <v>100000000</v>
      </c>
      <c r="K172" s="1" t="d">
        <v>2025-04-30T23:59:08.000Z</v>
      </c>
      <c r="L172" s="1" t="d">
        <v>2026-04-29T23:59:08.000Z</v>
      </c>
      <c r="N172" t="str">
        <v>Developing an AI-Enhanced Environmental Policy Data Hub</v>
      </c>
      <c r="O172" t="str">
        <f>IFERROR(VLOOKUP($G172,[1]DB2!$A:$B,2,0),"공동과책 확인")</f>
        <v>Choi, Kwanghun</v>
      </c>
      <c r="P172" t="str">
        <v>AI and Environmental Informatics</v>
      </c>
      <c r="R172" t="str">
        <f>IFERROR(VLOOKUP($I172,[1]DB2!$F$2:$I$58,2,0),"옛날 부서명 확인")</f>
        <v xml:space="preserve">AI and Data Team </v>
      </c>
      <c r="S172" t="str">
        <f>IFERROR(VLOOKUP($I172,[1]DB2!$F$2:$I$58,4,0),"옛날 부서명 확인")</f>
        <v xml:space="preserve">Department of Planning and Strategy </v>
      </c>
    </row>
    <row r="173">
      <c r="A173" t="str">
        <v>226</v>
      </c>
      <c r="B173" t="str">
        <v>연구개발적립금</v>
      </c>
      <c r="C173" t="str">
        <v>RI2025-02</v>
      </c>
      <c r="D173" t="str">
        <v>KEI 글로벌 협력 기반 강화 및 포럼 운영</v>
      </c>
      <c r="F173" t="str">
        <v>10217</v>
      </c>
      <c r="G173" t="str">
        <v>박준현</v>
      </c>
      <c r="H173" t="str">
        <v>202508198</v>
      </c>
      <c r="I173" t="str">
        <v>글로벌협력팀</v>
      </c>
      <c r="J173">
        <v>100000000</v>
      </c>
      <c r="K173" s="1" t="d">
        <v>2025-04-30T23:59:08.000Z</v>
      </c>
      <c r="L173" s="1" t="d">
        <v>2026-04-29T23:59:08.000Z</v>
      </c>
      <c r="N173" t="str">
        <v>KEI Global Cooperation Enhancement and Forum Operations</v>
      </c>
      <c r="O173" t="str">
        <f>IFERROR(VLOOKUP($G173,[1]DB2!$A:$B,2,0),"공동과책 확인")</f>
        <v>Park, Jun Hyun</v>
      </c>
      <c r="P173" t="str">
        <v>International Environmental Collaboration</v>
      </c>
      <c r="R173" t="str">
        <f>IFERROR(VLOOKUP($I173,[1]DB2!$F$2:$I$58,2,0),"옛날 부서명 확인")</f>
        <v>Global Cooperation Team</v>
      </c>
      <c r="S173" t="str">
        <f>IFERROR(VLOOKUP($I173,[1]DB2!$F$2:$I$58,4,0),"옛날 부서명 확인")</f>
        <v xml:space="preserve">Department of Planning and Strategy </v>
      </c>
    </row>
    <row r="174">
      <c r="A174" t="str">
        <v>228</v>
      </c>
      <c r="B174" t="str">
        <v>연구개발적립금</v>
      </c>
      <c r="C174" t="str">
        <v>RR2025-05</v>
      </c>
      <c r="D174" t="str">
        <v>법정보호식물 이식사업의 타당성 평가 체계 연구</v>
      </c>
      <c r="F174" t="str">
        <v>10352</v>
      </c>
      <c r="G174" t="str">
        <v>허남주</v>
      </c>
      <c r="H174" t="str">
        <v>202508165</v>
      </c>
      <c r="I174" t="str">
        <v>기후에너지평가실</v>
      </c>
      <c r="J174">
        <v>15000000</v>
      </c>
      <c r="K174" s="1" t="d">
        <v>2025-04-30T23:59:08.000Z</v>
      </c>
      <c r="L174" s="1" t="d">
        <v>2025-10-30T23:59:08.000Z</v>
      </c>
      <c r="N174" t="str">
        <v>Feasibility Assessment Framework for the Mitigation Translocation of Legally Protected Plants</v>
      </c>
      <c r="O174" t="str">
        <f>IFERROR(VLOOKUP($G174,[1]DB2!$A:$B,2,0),"공동과책 확인")</f>
        <v xml:space="preserve">Heo, Namjoo </v>
      </c>
      <c r="P174" t="str">
        <v>Environmental Assessment</v>
      </c>
      <c r="Q174" t="str">
        <v>Ecology</v>
      </c>
      <c r="R174" t="str">
        <f>IFERROR(VLOOKUP($I174,[1]DB2!$F$2:$I$58,2,0),"옛날 부서명 확인")</f>
        <v xml:space="preserve">Climate and Energy Assessment Division </v>
      </c>
      <c r="S174" t="str">
        <f>IFERROR(VLOOKUP($I174,[1]DB2!$F$2:$I$58,4,0),"옛날 부서명 확인")</f>
        <v xml:space="preserve">Environmental Assessment Group </v>
      </c>
    </row>
    <row r="175">
      <c r="A175" t="str">
        <v>229</v>
      </c>
      <c r="B175" t="str">
        <v>연구개발적립금</v>
      </c>
      <c r="C175" t="str">
        <v>RR2025-06</v>
      </c>
      <c r="D175" t="str">
        <v>환경상태 종합평가를 위한 지표체계 개발 및 적용</v>
      </c>
      <c r="F175" t="str">
        <v>10139</v>
      </c>
      <c r="G175" t="str">
        <v>김종호</v>
      </c>
      <c r="H175" t="str">
        <v>202508204</v>
      </c>
      <c r="I175" t="str">
        <v>순환경제연구실</v>
      </c>
      <c r="J175">
        <v>105000000</v>
      </c>
      <c r="K175" s="1" t="d">
        <v>2025-04-30T23:59:08.000Z</v>
      </c>
      <c r="L175" s="1" t="d">
        <v>2026-04-29T23:59:08.000Z</v>
      </c>
      <c r="N175" t="str">
        <v>Development and Application of an Indicator System for Comprehensive Environmental Status Assessment</v>
      </c>
      <c r="O175" t="str">
        <f>IFERROR(VLOOKUP($G175,[1]DB2!$A:$B,2,0),"공동과책 확인")</f>
        <v>Kim, Jongho</v>
      </c>
      <c r="P175" t="str">
        <v>Sustainable Development</v>
      </c>
      <c r="Q175" t="str">
        <v>AI and Environmental Informatics</v>
      </c>
      <c r="R175" t="str">
        <f>IFERROR(VLOOKUP($I175,[1]DB2!$F$2:$I$58,2,0),"옛날 부서명 확인")</f>
        <v xml:space="preserve">Circular Economy Division </v>
      </c>
      <c r="S175" t="str">
        <f>IFERROR(VLOOKUP($I175,[1]DB2!$F$2:$I$58,4,0),"옛날 부서명 확인")</f>
        <v xml:space="preserve">Sustainable Development Research Group  </v>
      </c>
    </row>
    <row r="176">
      <c r="A176" t="str">
        <v>230</v>
      </c>
      <c r="B176" t="str">
        <v>연구개발적립금</v>
      </c>
      <c r="C176" t="str">
        <v>RR2025-07</v>
      </c>
      <c r="D176" t="str">
        <v>GIVE 모형 기반 탄소 배출의 사회적 비용 산정</v>
      </c>
      <c r="F176" t="str">
        <v>10347</v>
      </c>
      <c r="G176" t="str">
        <v>김현규</v>
      </c>
      <c r="H176" t="str">
        <v>202508124</v>
      </c>
      <c r="I176" t="str">
        <v>기후적응정책실</v>
      </c>
      <c r="J176">
        <v>50000000</v>
      </c>
      <c r="K176" s="1" t="d">
        <v>2025-04-30T23:59:08.000Z</v>
      </c>
      <c r="L176" s="1" t="d">
        <v>2026-04-29T23:59:08.000Z</v>
      </c>
      <c r="N176" t="str">
        <v>Estimating Social Cost of Carbon by Using GIVE Model</v>
      </c>
      <c r="O176" t="str">
        <f>IFERROR(VLOOKUP($G176,[1]DB2!$A:$B,2,0),"공동과책 확인")</f>
        <v xml:space="preserve">Kim, Hyun-gyu </v>
      </c>
      <c r="P176" t="str">
        <v>Environmental Economics</v>
      </c>
      <c r="Q176" t="str">
        <v>Carbon Neutrality and Energy</v>
      </c>
      <c r="R176" t="str">
        <f>IFERROR(VLOOKUP($I176,[1]DB2!$F$2:$I$58,2,0),"옛날 부서명 확인")</f>
        <v xml:space="preserve">Climate Adaptation Policy Division </v>
      </c>
      <c r="S176" t="str">
        <f>IFERROR(VLOOKUP($I176,[1]DB2!$F$2:$I$58,4,0),"옛날 부서명 확인")</f>
        <v xml:space="preserve">Korea Adaptation Center for Climate Change </v>
      </c>
    </row>
    <row r="177">
      <c r="A177" t="str">
        <v>231</v>
      </c>
      <c r="B177" t="str">
        <v>연구개발적립금</v>
      </c>
      <c r="C177" t="str">
        <v>RR2025-08</v>
      </c>
      <c r="D177" t="str">
        <v>공간계획과 기후대책의 통합 전략 마련</v>
      </c>
      <c r="F177" t="str">
        <v>10283</v>
      </c>
      <c r="G177" t="str">
        <v>송지윤</v>
      </c>
      <c r="H177" t="str">
        <v>202508124</v>
      </c>
      <c r="I177" t="str">
        <v>기후적응정책실</v>
      </c>
      <c r="J177">
        <v>50000000</v>
      </c>
      <c r="K177" s="1" t="d">
        <v>2025-04-30T23:59:08.000Z</v>
      </c>
      <c r="L177" s="1" t="d">
        <v>2026-04-29T23:59:08.000Z</v>
      </c>
      <c r="N177" t="str">
        <v>Strategies for Integrating Climate Measures into Spatial Planning</v>
      </c>
      <c r="O177" t="str">
        <f>IFERROR(VLOOKUP($G177,[1]DB2!$A:$B,2,0),"공동과책 확인")</f>
        <v xml:space="preserve">Song, Jiyoon </v>
      </c>
      <c r="P177" t="str">
        <v>Land and Urban Environment</v>
      </c>
      <c r="Q177" t="str">
        <v>Climate Adaptation</v>
      </c>
      <c r="R177" t="str">
        <f>IFERROR(VLOOKUP($I177,[1]DB2!$F$2:$I$58,2,0),"옛날 부서명 확인")</f>
        <v xml:space="preserve">Climate Adaptation Policy Division </v>
      </c>
      <c r="S177" t="str">
        <f>IFERROR(VLOOKUP($I177,[1]DB2!$F$2:$I$58,4,0),"옛날 부서명 확인")</f>
        <v xml:space="preserve">Korea Adaptation Center for Climate Change </v>
      </c>
    </row>
    <row r="178">
      <c r="A178" t="str">
        <v>232</v>
      </c>
      <c r="B178" t="str">
        <v>연구개발적립금</v>
      </c>
      <c r="C178" t="str">
        <v>RR2025-09</v>
      </c>
      <c r="D178" t="str">
        <v>하천구역 야적퇴비 통합관리 정책 개선방안 마련을 위한 연구</v>
      </c>
      <c r="F178" t="str">
        <v>10295</v>
      </c>
      <c r="G178" t="str">
        <v>이영준B</v>
      </c>
      <c r="H178" t="str">
        <v>202508207</v>
      </c>
      <c r="I178" t="str">
        <v>환경자원평가실</v>
      </c>
      <c r="J178">
        <v>40000000</v>
      </c>
      <c r="K178" s="1" t="d">
        <v>2025-04-30T23:59:08.000Z</v>
      </c>
      <c r="L178" s="1" t="d">
        <v>2026-04-29T23:59:08.000Z</v>
      </c>
      <c r="N178" t="str">
        <v>A Study on Improving Integrated Management Policy for Outdoor Compost in Riparian Zones</v>
      </c>
      <c r="O178" t="str">
        <f>IFERROR(VLOOKUP($G178,[1]DB2!$A:$B,2,0),"공동과책 확인")</f>
        <v xml:space="preserve">Rhee, Youngjoon </v>
      </c>
      <c r="P178" t="str">
        <v>Water Management</v>
      </c>
      <c r="Q178" t="str">
        <v>Environmental Assessment</v>
      </c>
      <c r="R178" t="str">
        <f>IFERROR(VLOOKUP($I178,[1]DB2!$F$2:$I$58,2,0),"옛날 부서명 확인")</f>
        <v xml:space="preserve">Environmental Resources Assessment Division </v>
      </c>
      <c r="S178" t="str">
        <f>IFERROR(VLOOKUP($I178,[1]DB2!$F$2:$I$58,4,0),"옛날 부서명 확인")</f>
        <v xml:space="preserve">Environmental Assessment Group </v>
      </c>
    </row>
    <row r="179">
      <c r="A179" t="str">
        <v>233</v>
      </c>
      <c r="B179" t="str">
        <v>연구개발적립금</v>
      </c>
      <c r="C179" t="str">
        <v>RR2025-10</v>
      </c>
      <c r="D179" t="str">
        <v>하구 통합관리를 위한 법제도 정비 방안 연구</v>
      </c>
      <c r="F179" t="str">
        <v>10257</v>
      </c>
      <c r="G179" t="str">
        <v>김충기</v>
      </c>
      <c r="H179" t="str">
        <v>202508192</v>
      </c>
      <c r="I179" t="str">
        <v>임원실</v>
      </c>
      <c r="J179">
        <v>40000000</v>
      </c>
      <c r="K179" s="1" t="d">
        <v>2025-04-30T23:59:08.000Z</v>
      </c>
      <c r="L179" s="1" t="d">
        <v>2026-04-29T23:59:08.000Z</v>
      </c>
      <c r="N179" t="str">
        <v>Legal and Institutional Reform for Integrated Estuary Management</v>
      </c>
      <c r="O179" t="str">
        <f>IFERROR(VLOOKUP($G179,[1]DB2!$A:$B,2,0),"공동과책 확인")</f>
        <v>Kim, Choong-ki</v>
      </c>
      <c r="P179" t="str">
        <v>Marine Environment</v>
      </c>
      <c r="Q179" t="str">
        <v>Land and Urban Environment</v>
      </c>
      <c r="R179" t="str">
        <f>IFERROR(VLOOKUP($I179,[1]DB2!$F$2:$I$58,2,0),"옛날 부서명 확인")</f>
        <v>Executive Office</v>
      </c>
      <c r="S179" t="str">
        <f>IFERROR(VLOOKUP($I179,[1]DB2!$F$2:$I$58,4,0),"옛날 부서명 확인")</f>
        <v>Executive Office</v>
      </c>
    </row>
    <row r="180">
      <c r="A180" t="str">
        <v>235</v>
      </c>
      <c r="B180" t="str">
        <v>수탁과제</v>
      </c>
      <c r="C180" t="str">
        <v>2025-073</v>
      </c>
      <c r="D180" t="str">
        <v>제2차 토양보전 기본계획 점검 및 개선방안 마련 연구</v>
      </c>
      <c r="F180" t="str">
        <v>10130</v>
      </c>
      <c r="G180" t="str">
        <v>이정호</v>
      </c>
      <c r="H180" t="str">
        <v>202508190</v>
      </c>
      <c r="I180" t="str">
        <v>물관리연구실</v>
      </c>
      <c r="J180">
        <v>90909090</v>
      </c>
      <c r="K180" s="1" t="d">
        <v>2025-05-11T23:59:08.000Z</v>
      </c>
      <c r="L180" s="1" t="d">
        <v>2025-12-09T23:59:08.000Z</v>
      </c>
      <c r="M180" t="str">
        <v>한국환경산업기술원</v>
      </c>
      <c r="N180" t="str">
        <v>Study on Reviewing and Improving the Second Basic Plan for Soil Conservation</v>
      </c>
      <c r="O180" t="str">
        <f>IFERROR(VLOOKUP($G180,[1]DB2!$A:$B,2,0),"공동과책 확인")</f>
        <v>Lee, Jeongho</v>
      </c>
      <c r="P180" t="str">
        <v>Land and Urban Environment</v>
      </c>
      <c r="R180" t="str">
        <f>IFERROR(VLOOKUP($I180,[1]DB2!$F$2:$I$58,2,0),"옛날 부서명 확인")</f>
        <v xml:space="preserve">Water Management Division </v>
      </c>
      <c r="S180" t="str">
        <f>IFERROR(VLOOKUP($I180,[1]DB2!$F$2:$I$58,4,0),"옛날 부서명 확인")</f>
        <v xml:space="preserve">Land and Environment Research Group </v>
      </c>
    </row>
    <row r="181">
      <c r="A181" t="str">
        <v>236</v>
      </c>
      <c r="B181" t="str">
        <v>수탁과제</v>
      </c>
      <c r="C181" t="str">
        <v>2025-074</v>
      </c>
      <c r="D181" t="str">
        <v>환경안전 및 적정관리를 고려한 폐수 활용방안 마련 연구</v>
      </c>
      <c r="F181" t="str">
        <v>10189</v>
      </c>
      <c r="G181" t="str">
        <v>한대호</v>
      </c>
      <c r="H181" t="str">
        <v>202508190</v>
      </c>
      <c r="I181" t="str">
        <v>물관리연구실</v>
      </c>
      <c r="J181">
        <v>44800000</v>
      </c>
      <c r="K181" s="1" t="d">
        <v>2025-05-11T23:59:08.000Z</v>
      </c>
      <c r="L181" s="1" t="d">
        <v>2025-11-27T23:59:08.000Z</v>
      </c>
      <c r="M181" t="str">
        <v>환경부</v>
      </c>
      <c r="N181" t="str">
        <v>Developing Wastewater Utilization Strategies for Environmental Safety and Proper Management</v>
      </c>
      <c r="O181" t="str">
        <f>IFERROR(VLOOKUP($G181,[1]DB2!$A:$B,2,0),"공동과책 확인")</f>
        <v>Han, Daeho</v>
      </c>
      <c r="P181" t="str">
        <v>Water Management</v>
      </c>
      <c r="Q181" t="str">
        <v>Environmental Health</v>
      </c>
      <c r="R181" t="str">
        <f>IFERROR(VLOOKUP($I181,[1]DB2!$F$2:$I$58,2,0),"옛날 부서명 확인")</f>
        <v xml:space="preserve">Water Management Division </v>
      </c>
      <c r="S181" t="str">
        <f>IFERROR(VLOOKUP($I181,[1]DB2!$F$2:$I$58,4,0),"옛날 부서명 확인")</f>
        <v xml:space="preserve">Land and Environment Research Group </v>
      </c>
    </row>
    <row r="182">
      <c r="A182" t="str">
        <v>237</v>
      </c>
      <c r="B182" t="str">
        <v>수탁과제</v>
      </c>
      <c r="C182" t="str">
        <v>2025-075</v>
      </c>
      <c r="D182" t="str">
        <v>물분야 국제협력 활성화 연구(II)</v>
      </c>
      <c r="F182" t="str">
        <v>10184</v>
      </c>
      <c r="G182" t="str">
        <v>김익재</v>
      </c>
      <c r="H182" t="str">
        <v>202508190</v>
      </c>
      <c r="I182" t="str">
        <v>물관리연구실</v>
      </c>
      <c r="J182">
        <v>96950000</v>
      </c>
      <c r="K182" s="1" t="d">
        <v>2025-05-12T23:59:08.000Z</v>
      </c>
      <c r="L182" s="1" t="d">
        <v>2026-05-11T23:59:08.000Z</v>
      </c>
      <c r="M182" t="str">
        <v>환경부</v>
      </c>
      <c r="N182" t="str">
        <v>Promoting International Cooperation in the Water Sector (II)</v>
      </c>
      <c r="O182" t="str">
        <f>IFERROR(VLOOKUP($G182,[1]DB2!$A:$B,2,0),"공동과책 확인")</f>
        <v>Kim, Ikjae</v>
      </c>
      <c r="P182" t="str">
        <v>Water Management</v>
      </c>
      <c r="Q182" t="str">
        <v>International Environmental Collaboration</v>
      </c>
      <c r="R182" t="str">
        <f>IFERROR(VLOOKUP($I182,[1]DB2!$F$2:$I$58,2,0),"옛날 부서명 확인")</f>
        <v xml:space="preserve">Water Management Division </v>
      </c>
      <c r="S182" t="str">
        <f>IFERROR(VLOOKUP($I182,[1]DB2!$F$2:$I$58,4,0),"옛날 부서명 확인")</f>
        <v xml:space="preserve">Land and Environment Research Group </v>
      </c>
    </row>
    <row r="183">
      <c r="A183" t="str">
        <v>238</v>
      </c>
      <c r="B183" t="str">
        <v>수탁과제</v>
      </c>
      <c r="C183" t="str">
        <v>2025-076</v>
      </c>
      <c r="D183" t="str">
        <v>자연환경보전법 개정 법안 하위법령·행정규칙 마련 및 규제분석 연구</v>
      </c>
      <c r="F183" t="str">
        <v>10282</v>
      </c>
      <c r="G183" t="str">
        <v>손승우</v>
      </c>
      <c r="H183" t="str">
        <v>202508205</v>
      </c>
      <c r="I183" t="str">
        <v>국토관리연구실</v>
      </c>
      <c r="J183">
        <v>63000000</v>
      </c>
      <c r="K183" s="1" t="d">
        <v>2025-05-12T23:59:08.000Z</v>
      </c>
      <c r="L183" s="1" t="d">
        <v>2026-07-07T23:59:08.000Z</v>
      </c>
      <c r="M183" t="str">
        <v>환경부</v>
      </c>
      <c r="N183" t="str">
        <v>Study on Subordinate Legislation, Administrative Rules, and Regulatory Analysis for the Amendment of the Natural Environment Conservation Act</v>
      </c>
      <c r="O183" t="str">
        <f>IFERROR(VLOOKUP($G183,[1]DB2!$A:$B,2,0),"공동과책 확인")</f>
        <v>Son, Seungwoo</v>
      </c>
      <c r="P183" t="str">
        <v>Land and Urban Environment</v>
      </c>
      <c r="Q183" t="str">
        <v>Ecology</v>
      </c>
      <c r="R183" t="str">
        <f>IFERROR(VLOOKUP($I183,[1]DB2!$F$2:$I$58,2,0),"옛날 부서명 확인")</f>
        <v>Spatial Planning and Management Division</v>
      </c>
      <c r="S183" t="str">
        <f>IFERROR(VLOOKUP($I183,[1]DB2!$F$2:$I$58,4,0),"옛날 부서명 확인")</f>
        <v xml:space="preserve">Land and Environment Research Group </v>
      </c>
    </row>
    <row r="184">
      <c r="A184" t="str">
        <v>239</v>
      </c>
      <c r="B184" t="str">
        <v>수탁과제</v>
      </c>
      <c r="C184" t="str">
        <v>2025-077</v>
      </c>
      <c r="D184" t="str">
        <v>2025년 환경관련 조세 및 세입계정 통계 작성(2023년 기준)</v>
      </c>
      <c r="F184" t="str">
        <v>10228</v>
      </c>
      <c r="G184" t="str">
        <v>강성원</v>
      </c>
      <c r="H184" t="str">
        <v>202508095</v>
      </c>
      <c r="I184" t="str">
        <v>녹색경제연구실</v>
      </c>
      <c r="J184">
        <v>85900000</v>
      </c>
      <c r="K184" s="1" t="d">
        <v>2025-05-12T23:59:08.000Z</v>
      </c>
      <c r="L184" s="1" t="d">
        <v>2026-05-11T23:59:08.000Z</v>
      </c>
      <c r="M184" t="str">
        <v>환경부 녹색기술개발과</v>
      </c>
      <c r="N184" t="str">
        <v>2025 Environmental Tax and Revenue Account Statistics Compilation (Using 2023 Data)</v>
      </c>
      <c r="O184" t="str">
        <f>IFERROR(VLOOKUP($G184,[1]DB2!$A:$B,2,0),"공동과책 확인")</f>
        <v>Kang, Sungwon</v>
      </c>
      <c r="P184" t="str">
        <v>Environmental Economics</v>
      </c>
      <c r="R184" t="str">
        <f>IFERROR(VLOOKUP($I184,[1]DB2!$F$2:$I$58,2,0),"옛날 부서명 확인")</f>
        <v xml:space="preserve">Green Economy Division </v>
      </c>
      <c r="S184" t="str">
        <f>IFERROR(VLOOKUP($I184,[1]DB2!$F$2:$I$58,4,0),"옛날 부서명 확인")</f>
        <v xml:space="preserve">Climate and Atmospheric Strategy Research Group  </v>
      </c>
    </row>
    <row r="185">
      <c r="A185" t="str">
        <v>240</v>
      </c>
      <c r="B185" t="str">
        <v>수탁과제</v>
      </c>
      <c r="C185" t="str">
        <v>2025-078</v>
      </c>
      <c r="D185" t="str">
        <v>유네스코 과학 기반 국가물평가 대응 체계 마련(I)</v>
      </c>
      <c r="F185" t="str">
        <v>10184</v>
      </c>
      <c r="G185" t="str">
        <v>김익재</v>
      </c>
      <c r="H185" t="str">
        <v>202508190</v>
      </c>
      <c r="I185" t="str">
        <v>물관리연구실</v>
      </c>
      <c r="J185">
        <v>406090000</v>
      </c>
      <c r="K185" s="1" t="d">
        <v>2025-05-12T23:59:08.000Z</v>
      </c>
      <c r="L185" s="1" t="d">
        <v>2026-05-11T23:59:08.000Z</v>
      </c>
      <c r="M185" t="str">
        <v>환경부</v>
      </c>
      <c r="N185" t="str">
        <v>Study on Establishing a UNESCO Science-Guided National Water Assessment System (I)</v>
      </c>
      <c r="O185" t="str">
        <f>IFERROR(VLOOKUP($G185,[1]DB2!$A:$B,2,0),"공동과책 확인")</f>
        <v>Kim, Ikjae</v>
      </c>
      <c r="P185" t="str">
        <v>Water Management</v>
      </c>
      <c r="Q185" t="str">
        <v>International Environmental Collaboration</v>
      </c>
      <c r="R185" t="str">
        <f>IFERROR(VLOOKUP($I185,[1]DB2!$F$2:$I$58,2,0),"옛날 부서명 확인")</f>
        <v xml:space="preserve">Water Management Division </v>
      </c>
      <c r="S185" t="str">
        <f>IFERROR(VLOOKUP($I185,[1]DB2!$F$2:$I$58,4,0),"옛날 부서명 확인")</f>
        <v xml:space="preserve">Land and Environment Research Group </v>
      </c>
    </row>
    <row r="186">
      <c r="A186" t="str">
        <v>241</v>
      </c>
      <c r="B186" t="str">
        <v>수탁과제</v>
      </c>
      <c r="C186" t="str">
        <v>2025-081</v>
      </c>
      <c r="D186" t="str">
        <v>2030 국가보호지역 확대 로드맵 이행계획 마련 연구</v>
      </c>
      <c r="F186" t="str">
        <v>10282</v>
      </c>
      <c r="G186" t="str">
        <v>손승우</v>
      </c>
      <c r="H186" t="str">
        <v>202508205</v>
      </c>
      <c r="I186" t="str">
        <v>국토관리연구실</v>
      </c>
      <c r="J186">
        <v>142600000</v>
      </c>
      <c r="K186" s="1" t="d">
        <v>2025-05-15T23:59:08.000Z</v>
      </c>
      <c r="L186" s="1" t="d">
        <v>2026-05-14T23:59:08.000Z</v>
      </c>
      <c r="M186" t="str">
        <v>환경부</v>
      </c>
      <c r="N186" t="str">
        <v>Developing an Implementation Plan for the 2030 Roadmap for Expanding National Protected Areas</v>
      </c>
      <c r="O186" t="str">
        <f>IFERROR(VLOOKUP($G186,[1]DB2!$A:$B,2,0),"공동과책 확인")</f>
        <v>Son, Seungwoo</v>
      </c>
      <c r="P186" t="str">
        <v>Land and Urban Environment</v>
      </c>
      <c r="Q186" t="str">
        <v>Ecology</v>
      </c>
      <c r="R186" t="str">
        <f>IFERROR(VLOOKUP($I186,[1]DB2!$F$2:$I$58,2,0),"옛날 부서명 확인")</f>
        <v>Spatial Planning and Management Division</v>
      </c>
      <c r="S186" t="str">
        <f>IFERROR(VLOOKUP($I186,[1]DB2!$F$2:$I$58,4,0),"옛날 부서명 확인")</f>
        <v xml:space="preserve">Land and Environment Research Group </v>
      </c>
    </row>
    <row r="187">
      <c r="A187" t="str">
        <v>242</v>
      </c>
      <c r="B187" t="str">
        <v>수탁과제</v>
      </c>
      <c r="C187" t="str">
        <v>2025-080</v>
      </c>
      <c r="D187" t="str">
        <v>제1차 순환경제기본계획 수립 연구(1차)</v>
      </c>
      <c r="F187" t="str">
        <v>10221</v>
      </c>
      <c r="G187" t="str">
        <v>조지혜</v>
      </c>
      <c r="H187" t="str">
        <v>202508204</v>
      </c>
      <c r="I187" t="str">
        <v>순환경제연구실</v>
      </c>
      <c r="J187">
        <v>144000000</v>
      </c>
      <c r="K187" s="1" t="d">
        <v>2025-05-18T23:59:08.000Z</v>
      </c>
      <c r="L187" s="1" t="d">
        <v>2026-01-12T23:59:08.000Z</v>
      </c>
      <c r="M187" t="str">
        <v>환경부</v>
      </c>
      <c r="N187" t="str">
        <v>Establishing the First Master Plan for Circular Economy (Phase 1)</v>
      </c>
      <c r="O187" t="str">
        <f>IFERROR(VLOOKUP($G187,[1]DB2!$A:$B,2,0),"공동과책 확인")</f>
        <v>Jo, Ji Hye</v>
      </c>
      <c r="P187" t="str">
        <v>Circular Economy</v>
      </c>
      <c r="Q187" t="str">
        <v>Sustainable Development</v>
      </c>
      <c r="R187" t="str">
        <f>IFERROR(VLOOKUP($I187,[1]DB2!$F$2:$I$58,2,0),"옛날 부서명 확인")</f>
        <v xml:space="preserve">Circular Economy Division </v>
      </c>
      <c r="S187" t="str">
        <f>IFERROR(VLOOKUP($I187,[1]DB2!$F$2:$I$58,4,0),"옛날 부서명 확인")</f>
        <v xml:space="preserve">Sustainable Development Research Group  </v>
      </c>
    </row>
    <row r="188">
      <c r="A188" t="str">
        <v>243</v>
      </c>
      <c r="B188" t="str">
        <v>수탁과제</v>
      </c>
      <c r="C188" t="str">
        <v>2025-082</v>
      </c>
      <c r="D188" t="str">
        <v>2025 OECD 탄소감축포럼(IFCMA) 및 기후클럽 논의 대응 연구</v>
      </c>
      <c r="F188" t="str">
        <v>10340</v>
      </c>
      <c r="G188" t="str">
        <v>문종우</v>
      </c>
      <c r="H188" t="str">
        <v>202508197</v>
      </c>
      <c r="I188" t="str">
        <v>탄소중립연구실</v>
      </c>
      <c r="J188">
        <v>98900000</v>
      </c>
      <c r="K188" s="1" t="d">
        <v>2025-05-22T23:59:08.000Z</v>
      </c>
      <c r="L188" s="1" t="d">
        <v>2025-12-30T23:59:08.000Z</v>
      </c>
      <c r="M188" t="str">
        <v>환경부</v>
      </c>
      <c r="N188" t="str">
        <v>Strategies to Respond to Discussions at the 2025 OECD Carbon Reduction Forum (IFCMA) and the Climate Club</v>
      </c>
      <c r="O188" t="str">
        <f>IFERROR(VLOOKUP($G188,[1]DB2!$A:$B,2,0),"공동과책 확인")</f>
        <v xml:space="preserve">Moon, Jongwoo </v>
      </c>
      <c r="P188" t="str">
        <v>Carbon Neutrality and Energy</v>
      </c>
      <c r="Q188" t="str">
        <v>International Environmental Collaboration</v>
      </c>
      <c r="R188" t="str">
        <f>IFERROR(VLOOKUP($I188,[1]DB2!$F$2:$I$58,2,0),"옛날 부서명 확인")</f>
        <v xml:space="preserve">Carbon Neutrality Division </v>
      </c>
      <c r="S188" t="str">
        <f>IFERROR(VLOOKUP($I188,[1]DB2!$F$2:$I$58,4,0),"옛날 부서명 확인")</f>
        <v xml:space="preserve">Climate and Atmospheric Strategy Research Group  </v>
      </c>
    </row>
    <row r="189">
      <c r="A189" t="str">
        <v>244</v>
      </c>
      <c r="B189" t="str">
        <v>수탁과제</v>
      </c>
      <c r="C189" t="str">
        <v>2025-083</v>
      </c>
      <c r="D189" t="str">
        <v>2024년도 한강수계 주민지원사업 평가</v>
      </c>
      <c r="F189" t="str">
        <v>10319</v>
      </c>
      <c r="G189" t="str">
        <v>전동진</v>
      </c>
      <c r="H189" t="str">
        <v>202508190</v>
      </c>
      <c r="I189" t="str">
        <v>물관리연구실</v>
      </c>
      <c r="J189">
        <v>40000000</v>
      </c>
      <c r="K189" s="1" t="d">
        <v>2025-05-25T23:59:08.000Z</v>
      </c>
      <c r="L189" s="1" t="d">
        <v>2025-10-21T23:59:08.000Z</v>
      </c>
      <c r="M189" t="str">
        <v>한강수계관리위원회</v>
      </c>
      <c r="N189" t="str">
        <v>Evaluation of the 2024 Han River Basin Community Support Project</v>
      </c>
      <c r="O189" t="str">
        <f>IFERROR(VLOOKUP($G189,[1]DB2!$A:$B,2,0),"공동과책 확인")</f>
        <v>Jeon, Dongjin</v>
      </c>
      <c r="P189" t="str">
        <v>Water Management</v>
      </c>
      <c r="Q189" t="str">
        <v>Socio-Environmental Interface</v>
      </c>
      <c r="R189" t="str">
        <f>IFERROR(VLOOKUP($I189,[1]DB2!$F$2:$I$58,2,0),"옛날 부서명 확인")</f>
        <v xml:space="preserve">Water Management Division </v>
      </c>
      <c r="S189" t="str">
        <f>IFERROR(VLOOKUP($I189,[1]DB2!$F$2:$I$58,4,0),"옛날 부서명 확인")</f>
        <v xml:space="preserve">Land and Environment Research Group </v>
      </c>
    </row>
    <row r="190">
      <c r="A190" t="str">
        <v>245</v>
      </c>
      <c r="B190" t="str">
        <v>수탁과제</v>
      </c>
      <c r="C190" t="str">
        <v>2025-084</v>
      </c>
      <c r="D190" t="str">
        <v>한국의 SDG 이행보고서 2026 작성을 위한 지표 분석 연구</v>
      </c>
      <c r="F190" t="str">
        <v>10220</v>
      </c>
      <c r="G190" t="str">
        <v>정우현</v>
      </c>
      <c r="H190" t="str">
        <v>202508189</v>
      </c>
      <c r="I190" t="str">
        <v>생활환경사회연구실</v>
      </c>
      <c r="J190">
        <v>85363630</v>
      </c>
      <c r="K190" s="1" t="d">
        <v>2025-05-25T23:59:08.000Z</v>
      </c>
      <c r="L190" s="1" t="d">
        <v>2025-11-29T23:59:08.000Z</v>
      </c>
      <c r="M190" t="str">
        <v>통계청 국가통계연구원</v>
      </c>
      <c r="N190" t="str">
        <v>An Indicators Analysis Study for “SDG in the Republic of Korea: Progress Report 2026”</v>
      </c>
      <c r="O190" t="str">
        <f>IFERROR(VLOOKUP($G190,[1]DB2!$A:$B,2,0),"공동과책 확인")</f>
        <v>Chung, Woo Hyun</v>
      </c>
      <c r="P190" t="str">
        <v>Sustainable Development</v>
      </c>
      <c r="R190" t="str">
        <f>IFERROR(VLOOKUP($I190,[1]DB2!$F$2:$I$58,2,0),"옛날 부서명 확인")</f>
        <v xml:space="preserve">Living Environment and Society Division </v>
      </c>
      <c r="S190" t="str">
        <f>IFERROR(VLOOKUP($I190,[1]DB2!$F$2:$I$58,4,0),"옛날 부서명 확인")</f>
        <v xml:space="preserve">Sustainable Development Research Group  </v>
      </c>
    </row>
    <row r="191">
      <c r="A191" t="str">
        <v>246</v>
      </c>
      <c r="B191" t="str">
        <v>수탁과제</v>
      </c>
      <c r="C191" t="str">
        <v>2025-085</v>
      </c>
      <c r="D191" t="str">
        <v>2024년 친환경 청정사업 성과평가</v>
      </c>
      <c r="F191" t="str">
        <v>10317</v>
      </c>
      <c r="G191" t="str">
        <v>이승수</v>
      </c>
      <c r="H191" t="str">
        <v>202508190</v>
      </c>
      <c r="I191" t="str">
        <v>물관리연구실</v>
      </c>
      <c r="J191">
        <v>50000000</v>
      </c>
      <c r="K191" s="1" t="d">
        <v>2025-05-28T23:59:08.000Z</v>
      </c>
      <c r="L191" s="1" t="d">
        <v>2025-10-29T23:59:08.000Z</v>
      </c>
      <c r="M191" t="str">
        <v>한강수계관리위원회</v>
      </c>
      <c r="N191" t="str">
        <v>2024 Performance Evaluation of Eco-friendly Clean Projects</v>
      </c>
      <c r="O191" t="str">
        <f>IFERROR(VLOOKUP($G191,[1]DB2!$A:$B,2,0),"공동과책 확인")</f>
        <v xml:space="preserve">Lee, Seungsoo </v>
      </c>
      <c r="P191" t="str">
        <v>Environmental Economics</v>
      </c>
      <c r="R191" t="str">
        <f>IFERROR(VLOOKUP($I191,[1]DB2!$F$2:$I$58,2,0),"옛날 부서명 확인")</f>
        <v xml:space="preserve">Water Management Division </v>
      </c>
      <c r="S191" t="str">
        <f>IFERROR(VLOOKUP($I191,[1]DB2!$F$2:$I$58,4,0),"옛날 부서명 확인")</f>
        <v xml:space="preserve">Land and Environment Research Group </v>
      </c>
    </row>
    <row r="192">
      <c r="A192" t="str">
        <v>247</v>
      </c>
      <c r="B192" t="str">
        <v>수탁과제</v>
      </c>
      <c r="C192" t="str">
        <v>2025-088(R)</v>
      </c>
      <c r="D192" t="str">
        <v>지하공간 침수위험도 평가 및 한국형 침수피해 저감시설 개발(1차년도)</v>
      </c>
      <c r="F192" t="str">
        <v>10317</v>
      </c>
      <c r="G192" t="str">
        <v>이승수</v>
      </c>
      <c r="H192" t="str">
        <v>202508190</v>
      </c>
      <c r="I192" t="str">
        <v>물관리연구실</v>
      </c>
      <c r="J192">
        <v>130000000</v>
      </c>
      <c r="K192" s="1" t="d">
        <v>2025-05-31T23:59:08.000Z</v>
      </c>
      <c r="L192" s="1" t="d">
        <v>2025-12-30T23:59:08.000Z</v>
      </c>
      <c r="M192" t="str">
        <v>국립재난안전연구원</v>
      </c>
      <c r="N192" t="str">
        <v>Flood Risk Assessment for Underground Spaces and Development of Flood Mitigation Facilities Tailored to Korea (Year 1)</v>
      </c>
      <c r="O192" t="str">
        <f>IFERROR(VLOOKUP($G192,[1]DB2!$A:$B,2,0),"공동과책 확인")</f>
        <v xml:space="preserve">Lee, Seungsoo </v>
      </c>
      <c r="P192" t="str">
        <v>Water Management</v>
      </c>
      <c r="R192" t="str">
        <f>IFERROR(VLOOKUP($I192,[1]DB2!$F$2:$I$58,2,0),"옛날 부서명 확인")</f>
        <v xml:space="preserve">Water Management Division </v>
      </c>
      <c r="S192" t="str">
        <f>IFERROR(VLOOKUP($I192,[1]DB2!$F$2:$I$58,4,0),"옛날 부서명 확인")</f>
        <v xml:space="preserve">Land and Environment Research Group </v>
      </c>
    </row>
    <row r="193">
      <c r="A193" t="str">
        <v>249</v>
      </c>
      <c r="B193" t="str">
        <v>기초과제</v>
      </c>
      <c r="C193" t="str">
        <v>BA2025-020-04</v>
      </c>
      <c r="D193" t="str">
        <v>환경영향평가 육수생태계 영향 저감방안 적용사례 분석</v>
      </c>
      <c r="F193" t="str">
        <v>10360</v>
      </c>
      <c r="G193" t="str">
        <v>김효겸</v>
      </c>
      <c r="H193" t="str">
        <v>202508207</v>
      </c>
      <c r="I193" t="str">
        <v>환경자원평가실</v>
      </c>
      <c r="J193">
        <v>3000000</v>
      </c>
      <c r="K193" s="1" t="d">
        <v>2025-06-01T23:59:08.000Z</v>
      </c>
      <c r="L193" s="1" t="d">
        <v>2025-11-30T23:59:08.000Z</v>
      </c>
      <c r="N193" t="str">
        <v>Application of Mitigation Measures for Freshwater Ecosystem in Environmental Impact Assessment</v>
      </c>
      <c r="O193" t="str">
        <f>IFERROR(VLOOKUP($G193,[1]DB2!$A:$B,2,0),"공동과책 확인")</f>
        <v>Kim, Hyo Gyeom</v>
      </c>
      <c r="P193" t="str">
        <v>Environmental Assessment</v>
      </c>
      <c r="Q193" t="str">
        <v>Ecology</v>
      </c>
      <c r="R193" t="str">
        <f>IFERROR(VLOOKUP($I193,[1]DB2!$F$2:$I$58,2,0),"옛날 부서명 확인")</f>
        <v xml:space="preserve">Environmental Resources Assessment Division </v>
      </c>
      <c r="S193" t="str">
        <f>IFERROR(VLOOKUP($I193,[1]DB2!$F$2:$I$58,4,0),"옛날 부서명 확인")</f>
        <v xml:space="preserve">Environmental Assessment Group </v>
      </c>
    </row>
    <row r="194">
      <c r="A194" t="str">
        <v>250</v>
      </c>
      <c r="B194" t="str">
        <v>기초과제</v>
      </c>
      <c r="C194" t="str">
        <v>BA2025-020-05</v>
      </c>
      <c r="D194" t="str">
        <v xml:space="preserve">인공지능 기반 생물다양성 조사 기술의 활용 동향 및 전망 </v>
      </c>
      <c r="F194" t="str">
        <v>10346</v>
      </c>
      <c r="G194" t="str">
        <v>최유영</v>
      </c>
      <c r="H194" t="str">
        <v>202508163</v>
      </c>
      <c r="I194" t="str">
        <v>국토전략평가실</v>
      </c>
      <c r="J194">
        <v>3000000</v>
      </c>
      <c r="K194" s="1" t="d">
        <v>2025-06-01T23:59:08.000Z</v>
      </c>
      <c r="L194" s="1" t="d">
        <v>2025-11-30T23:59:08.000Z</v>
      </c>
      <c r="N194" t="str">
        <v>Prospects and Emerging Trends in AI-Driven Biodiversity Survey Technologies</v>
      </c>
      <c r="O194" t="str">
        <f>IFERROR(VLOOKUP($G194,[1]DB2!$A:$B,2,0),"공동과책 확인")</f>
        <v>Choi, Yuyoung</v>
      </c>
      <c r="P194" t="str">
        <v>AI and Environmental Informatics</v>
      </c>
      <c r="Q194" t="str">
        <v>Ecology</v>
      </c>
      <c r="R194" t="str">
        <f>IFERROR(VLOOKUP($I194,[1]DB2!$F$2:$I$58,2,0),"옛날 부서명 확인")</f>
        <v xml:space="preserve">Land Strategy Assessment Division </v>
      </c>
      <c r="S194" t="str">
        <f>IFERROR(VLOOKUP($I194,[1]DB2!$F$2:$I$58,4,0),"옛날 부서명 확인")</f>
        <v xml:space="preserve">Environmental Assessment Group </v>
      </c>
    </row>
    <row r="195">
      <c r="A195" t="str">
        <v>251</v>
      </c>
      <c r="B195" t="str">
        <v>수탁과제</v>
      </c>
      <c r="C195" t="str">
        <v>2025-086</v>
      </c>
      <c r="D195" t="str">
        <v>토양·지하수 오염 통합관리체계 선진화 연구(I)</v>
      </c>
      <c r="F195" t="str">
        <v>10226</v>
      </c>
      <c r="G195" t="str">
        <v>현윤정</v>
      </c>
      <c r="H195" t="str">
        <v>202508190</v>
      </c>
      <c r="I195" t="str">
        <v>물관리연구실</v>
      </c>
      <c r="J195">
        <v>98600000</v>
      </c>
      <c r="K195" s="1" t="d">
        <v>2025-06-11T23:59:08.000Z</v>
      </c>
      <c r="L195" s="1" t="d">
        <v>2026-06-10T23:59:08.000Z</v>
      </c>
      <c r="M195" t="str">
        <v>환경부</v>
      </c>
      <c r="N195" t="str">
        <v>Advancing the Integrated Management System for Soil and Groundwater Pollution (I)</v>
      </c>
      <c r="O195" t="str">
        <f>IFERROR(VLOOKUP($G195,[1]DB2!$A:$B,2,0),"공동과책 확인")</f>
        <v>Hyun, Yunjung</v>
      </c>
      <c r="P195" t="str">
        <v>Land and Urban Environment</v>
      </c>
      <c r="Q195" t="str">
        <v>Water Management</v>
      </c>
      <c r="R195" t="str">
        <f>IFERROR(VLOOKUP($I195,[1]DB2!$F$2:$I$58,2,0),"옛날 부서명 확인")</f>
        <v xml:space="preserve">Water Management Division </v>
      </c>
      <c r="S195" t="str">
        <f>IFERROR(VLOOKUP($I195,[1]DB2!$F$2:$I$58,4,0),"옛날 부서명 확인")</f>
        <v xml:space="preserve">Land and Environment Research Group </v>
      </c>
    </row>
    <row r="196">
      <c r="A196" t="str">
        <v>252</v>
      </c>
      <c r="B196" t="str">
        <v>수탁과제</v>
      </c>
      <c r="C196" t="str">
        <v>2025-087</v>
      </c>
      <c r="D196" t="str">
        <v>국립공원 가치평가를 위한 생태계 건강성 지표 개발 연구</v>
      </c>
      <c r="F196" t="str">
        <v>10304</v>
      </c>
      <c r="G196" t="str">
        <v>이후승</v>
      </c>
      <c r="H196" t="str">
        <v>202508192</v>
      </c>
      <c r="I196" t="str">
        <v>자연환경연구실</v>
      </c>
      <c r="J196">
        <v>80000000</v>
      </c>
      <c r="K196" s="1" t="d">
        <v>2025-06-12T23:59:08.000Z</v>
      </c>
      <c r="L196" s="1" t="d">
        <v>2026-02-10T23:59:08.000Z</v>
      </c>
      <c r="M196" t="str">
        <v>국립공원공단</v>
      </c>
      <c r="N196" t="str">
        <v>Developing Ecosystem Health Indicators for National Park Valuation</v>
      </c>
      <c r="O196" t="str">
        <f>IFERROR(VLOOKUP($G196,[1]DB2!$A:$B,2,0),"공동과책 확인")</f>
        <v>Lee, Who-Seung</v>
      </c>
      <c r="P196" t="str">
        <v>Ecology</v>
      </c>
      <c r="Q196" t="str">
        <v>Environmental Economics</v>
      </c>
      <c r="R196" t="str">
        <f>IFERROR(VLOOKUP($I196,[1]DB2!$F$2:$I$58,2,0),"옛날 부서명 확인")</f>
        <v xml:space="preserve">Natural Environment Division </v>
      </c>
      <c r="S196" t="str">
        <f>IFERROR(VLOOKUP($I196,[1]DB2!$F$2:$I$58,4,0),"옛날 부서명 확인")</f>
        <v xml:space="preserve">Land and Environment Research Group </v>
      </c>
    </row>
    <row r="197">
      <c r="A197" t="str">
        <v>253</v>
      </c>
      <c r="B197" t="str">
        <v>수탁과제</v>
      </c>
      <c r="C197" t="str">
        <v>2025-093</v>
      </c>
      <c r="D197" t="str">
        <v>미중 기후 및 청정에너지 전환 전략 비교</v>
      </c>
      <c r="F197" t="str">
        <v>10231</v>
      </c>
      <c r="G197" t="str">
        <v>강택구</v>
      </c>
      <c r="H197" t="str">
        <v>202508095</v>
      </c>
      <c r="I197" t="str">
        <v>녹색경제연구실</v>
      </c>
      <c r="J197">
        <v>15000000</v>
      </c>
      <c r="K197" s="1" t="d">
        <v>2025-06-16T23:59:08.000Z</v>
      </c>
      <c r="L197" s="1" t="d">
        <v>2025-11-19T23:59:08.000Z</v>
      </c>
      <c r="M197" t="str">
        <v>대외경제정책연구원</v>
      </c>
      <c r="N197" t="str">
        <v>Comparative Analysis of Climate and Clean Energy Transition Strategies in the US and China</v>
      </c>
      <c r="O197" t="str">
        <f>IFERROR(VLOOKUP($G197,[1]DB2!$A:$B,2,0),"공동과책 확인")</f>
        <v>Kang, Taek Goo</v>
      </c>
      <c r="P197" t="str">
        <v>Carbon Neutrality and Energy</v>
      </c>
      <c r="Q197" t="str">
        <v>International Environmental Collaboration</v>
      </c>
      <c r="R197" t="str">
        <f>IFERROR(VLOOKUP($I197,[1]DB2!$F$2:$I$58,2,0),"옛날 부서명 확인")</f>
        <v xml:space="preserve">Green Economy Division </v>
      </c>
      <c r="S197" t="str">
        <f>IFERROR(VLOOKUP($I197,[1]DB2!$F$2:$I$58,4,0),"옛날 부서명 확인")</f>
        <v xml:space="preserve">Climate and Atmospheric Strategy Research Group  </v>
      </c>
    </row>
    <row r="198">
      <c r="A198" t="str">
        <v>254</v>
      </c>
      <c r="B198" t="str">
        <v>수탁과제</v>
      </c>
      <c r="C198" t="str">
        <v>2025-089</v>
      </c>
      <c r="D198" t="str">
        <v>완충저류시설 설치 촉진을 위한 로드맵 마련</v>
      </c>
      <c r="F198" t="str">
        <v>10319</v>
      </c>
      <c r="G198" t="str">
        <v>전동진</v>
      </c>
      <c r="H198" t="str">
        <v>202508190</v>
      </c>
      <c r="I198" t="str">
        <v>물관리연구실</v>
      </c>
      <c r="J198">
        <v>91318180</v>
      </c>
      <c r="K198" s="1" t="d">
        <v>2025-06-22T23:59:08.000Z</v>
      </c>
      <c r="L198" s="1" t="d">
        <v>2026-02-17T23:59:08.000Z</v>
      </c>
      <c r="M198" t="str">
        <v>한국환경공단</v>
      </c>
      <c r="N198" t="str">
        <v>Developing a Roadmap to Promote the Installation of Detention and Retention Facilities</v>
      </c>
      <c r="O198" t="str">
        <f>IFERROR(VLOOKUP($G198,[1]DB2!$A:$B,2,0),"공동과책 확인")</f>
        <v>Jeon, Dongjin</v>
      </c>
      <c r="P198" t="str">
        <v>Water Management</v>
      </c>
      <c r="R198" t="str">
        <f>IFERROR(VLOOKUP($I198,[1]DB2!$F$2:$I$58,2,0),"옛날 부서명 확인")</f>
        <v xml:space="preserve">Water Management Division </v>
      </c>
      <c r="S198" t="str">
        <f>IFERROR(VLOOKUP($I198,[1]DB2!$F$2:$I$58,4,0),"옛날 부서명 확인")</f>
        <v xml:space="preserve">Land and Environment Research Group </v>
      </c>
    </row>
    <row r="199">
      <c r="A199" t="str">
        <v>255</v>
      </c>
      <c r="B199" t="str">
        <v>수탁과제</v>
      </c>
      <c r="C199" t="str">
        <v>2025-090</v>
      </c>
      <c r="D199" t="str">
        <v>음식물류폐기물 감량기 관리체계 개선방안 마련 연구</v>
      </c>
      <c r="F199" t="str">
        <v>10313</v>
      </c>
      <c r="G199" t="str">
        <v>주문솔</v>
      </c>
      <c r="H199" t="str">
        <v>202508204</v>
      </c>
      <c r="I199" t="str">
        <v>순환경제연구실</v>
      </c>
      <c r="J199">
        <v>49500000</v>
      </c>
      <c r="K199" s="1" t="d">
        <v>2025-06-26T23:59:08.000Z</v>
      </c>
      <c r="L199" s="1" t="d">
        <v>2026-05-20T23:59:08.000Z</v>
      </c>
      <c r="M199" t="str">
        <v>환경부 생활폐기물과</v>
      </c>
      <c r="N199" t="str">
        <v>Improving the Management System for On-site Food Waste Treatment Equipment</v>
      </c>
      <c r="O199" t="str">
        <f>IFERROR(VLOOKUP($G199,[1]DB2!$A:$B,2,0),"공동과책 확인")</f>
        <v xml:space="preserve">Ju, Munsol </v>
      </c>
      <c r="P199" t="str">
        <v>Circular Economy</v>
      </c>
      <c r="R199" t="str">
        <f>IFERROR(VLOOKUP($I199,[1]DB2!$F$2:$I$58,2,0),"옛날 부서명 확인")</f>
        <v xml:space="preserve">Circular Economy Division </v>
      </c>
      <c r="S199" t="str">
        <f>IFERROR(VLOOKUP($I199,[1]DB2!$F$2:$I$58,4,0),"옛날 부서명 확인")</f>
        <v xml:space="preserve">Sustainable Development Research Group  </v>
      </c>
    </row>
    <row r="200">
      <c r="A200" t="str">
        <v>256</v>
      </c>
      <c r="B200" t="str">
        <v>수탁과제</v>
      </c>
      <c r="C200" t="str">
        <v>2025-091</v>
      </c>
      <c r="D200" t="str">
        <v>산업폐수관리개선방안(II) 및 공공폐수처리시설 기본계획 수립 지침 마련 연구</v>
      </c>
      <c r="F200" t="str">
        <v>10189</v>
      </c>
      <c r="G200" t="str">
        <v>한대호</v>
      </c>
      <c r="H200" t="str">
        <v>202508190</v>
      </c>
      <c r="I200" t="str">
        <v>물관리연구실</v>
      </c>
      <c r="J200">
        <v>49700000</v>
      </c>
      <c r="K200" s="1" t="d">
        <v>2025-06-26T23:59:08.000Z</v>
      </c>
      <c r="L200" s="1" t="d">
        <v>2026-01-30T23:59:08.000Z</v>
      </c>
      <c r="M200" t="str">
        <v>환경부</v>
      </c>
      <c r="N200" t="str">
        <v>Developing Improvement Measures for Industrial Wastewater Management (II) and Guidelines for Public Wastewater Treatment Facility Planning</v>
      </c>
      <c r="O200" t="str">
        <f>IFERROR(VLOOKUP($G200,[1]DB2!$A:$B,2,0),"공동과책 확인")</f>
        <v>Han, Daeho</v>
      </c>
      <c r="P200" t="str">
        <v>Water Management</v>
      </c>
      <c r="R200" t="str">
        <f>IFERROR(VLOOKUP($I200,[1]DB2!$F$2:$I$58,2,0),"옛날 부서명 확인")</f>
        <v xml:space="preserve">Water Management Division </v>
      </c>
      <c r="S200" t="str">
        <f>IFERROR(VLOOKUP($I200,[1]DB2!$F$2:$I$58,4,0),"옛날 부서명 확인")</f>
        <v xml:space="preserve">Land and Environment Research Group </v>
      </c>
    </row>
    <row r="201">
      <c r="A201" t="str">
        <v>257</v>
      </c>
      <c r="B201" t="str">
        <v>수탁과제</v>
      </c>
      <c r="C201" t="str">
        <v>2025-092</v>
      </c>
      <c r="D201" t="str">
        <v>자연환경복원사업 및 생태계서비스지불제계약 민간참여 활성화 연구용역</v>
      </c>
      <c r="F201" t="str">
        <v>10282</v>
      </c>
      <c r="G201" t="str">
        <v>손승우</v>
      </c>
      <c r="H201" t="str">
        <v>202508205</v>
      </c>
      <c r="I201" t="str">
        <v>국토관리연구실</v>
      </c>
      <c r="J201">
        <v>67545450</v>
      </c>
      <c r="K201" s="1" t="d">
        <v>2025-06-29T23:59:08.000Z</v>
      </c>
      <c r="L201" s="1" t="d">
        <v>2026-05-05T23:59:08.000Z</v>
      </c>
      <c r="M201" t="str">
        <v>환경부,한국환경보전원</v>
      </c>
      <c r="N201" t="str">
        <v>Promoting Private Sector Participation in Natural Environment Restoration Projects and Ecosystem Services Payment Contracts</v>
      </c>
      <c r="O201" t="str">
        <f>IFERROR(VLOOKUP($G201,[1]DB2!$A:$B,2,0),"공동과책 확인")</f>
        <v>Son, Seungwoo</v>
      </c>
      <c r="P201" t="str">
        <v>Ecology</v>
      </c>
      <c r="Q201" t="str">
        <v>Socio-Environmental Interface</v>
      </c>
      <c r="R201" t="str">
        <f>IFERROR(VLOOKUP($I201,[1]DB2!$F$2:$I$58,2,0),"옛날 부서명 확인")</f>
        <v>Spatial Planning and Management Division</v>
      </c>
      <c r="S201" t="str">
        <f>IFERROR(VLOOKUP($I201,[1]DB2!$F$2:$I$58,4,0),"옛날 부서명 확인")</f>
        <v xml:space="preserve">Land and Environment Research Group </v>
      </c>
    </row>
    <row r="202">
      <c r="A202" t="str">
        <v>259</v>
      </c>
      <c r="B202" t="str">
        <v>수시과제</v>
      </c>
      <c r="C202" t="str">
        <v>WO2025-04</v>
      </c>
      <c r="D202" t="str">
        <v>물산업 진흥 정책 진단을 통한 성과평가체계 구축방안</v>
      </c>
      <c r="F202" t="str">
        <v>10357</v>
      </c>
      <c r="G202" t="str">
        <v>오명진</v>
      </c>
      <c r="H202" t="str">
        <v>202508190</v>
      </c>
      <c r="I202" t="str">
        <v>물관리연구실</v>
      </c>
      <c r="J202">
        <v>15000000</v>
      </c>
      <c r="K202" s="1" t="d">
        <v>2025-06-30T23:59:08.000Z</v>
      </c>
      <c r="L202" s="1" t="d">
        <v>2025-12-30T23:59:08.000Z</v>
      </c>
      <c r="N202" t="str">
        <v>Establishing a Performance Evaluation System Based on Policy Review for Water Industry Promotion</v>
      </c>
      <c r="O202" t="str">
        <f>IFERROR(VLOOKUP($G202,[1]DB2!$A:$B,2,0),"공동과책 확인")</f>
        <v xml:space="preserve">Oh, Myoungjin </v>
      </c>
      <c r="P202" t="str">
        <v>Water Management</v>
      </c>
      <c r="Q202" t="str">
        <v>Environmental Economics</v>
      </c>
      <c r="R202" t="str">
        <f>IFERROR(VLOOKUP($I202,[1]DB2!$F$2:$I$58,2,0),"옛날 부서명 확인")</f>
        <v xml:space="preserve">Water Management Division </v>
      </c>
      <c r="S202" t="str">
        <f>IFERROR(VLOOKUP($I202,[1]DB2!$F$2:$I$58,4,0),"옛날 부서명 확인")</f>
        <v xml:space="preserve">Land and Environment Research Group </v>
      </c>
    </row>
    <row r="203">
      <c r="A203" t="str">
        <v>260</v>
      </c>
      <c r="B203" t="str">
        <v>수시과제</v>
      </c>
      <c r="C203" t="str">
        <v>WO2025-05</v>
      </c>
      <c r="D203" t="str">
        <v>지하공간 침수피해 저감을 위한 특별경계수위 제도 도입방안 마련</v>
      </c>
      <c r="F203" t="str">
        <v>10317</v>
      </c>
      <c r="G203" t="str">
        <v>이승수</v>
      </c>
      <c r="H203" t="str">
        <v>202508190</v>
      </c>
      <c r="I203" t="str">
        <v>물관리연구실</v>
      </c>
      <c r="J203">
        <v>15000000</v>
      </c>
      <c r="K203" s="1" t="d">
        <v>2025-06-30T23:59:08.000Z</v>
      </c>
      <c r="L203" s="1" t="d">
        <v>2025-12-30T23:59:08.000Z</v>
      </c>
      <c r="N203" t="str">
        <v>Introducing a Special Threshold Water Level System to Reduce Flood Damage in Underground Spaces</v>
      </c>
      <c r="O203" t="str">
        <f>IFERROR(VLOOKUP($G203,[1]DB2!$A:$B,2,0),"공동과책 확인")</f>
        <v xml:space="preserve">Lee, Seungsoo </v>
      </c>
      <c r="P203" t="str">
        <v>Water Management</v>
      </c>
      <c r="R203" t="str">
        <f>IFERROR(VLOOKUP($I203,[1]DB2!$F$2:$I$58,2,0),"옛날 부서명 확인")</f>
        <v xml:space="preserve">Water Management Division </v>
      </c>
      <c r="S203" t="str">
        <f>IFERROR(VLOOKUP($I203,[1]DB2!$F$2:$I$58,4,0),"옛날 부서명 확인")</f>
        <v xml:space="preserve">Land and Environment Research Group </v>
      </c>
    </row>
    <row r="204">
      <c r="A204" t="str">
        <v>261</v>
      </c>
      <c r="B204" t="str">
        <v>수시과제</v>
      </c>
      <c r="C204" t="str">
        <v>WO2025-06</v>
      </c>
      <c r="D204" t="str">
        <v>해상풍력 주민 수용성 증진을 위한 민관협의회 운영 연구</v>
      </c>
      <c r="F204" t="str">
        <v>10312</v>
      </c>
      <c r="G204" t="str">
        <v>김도균</v>
      </c>
      <c r="H204" t="str">
        <v>202508189</v>
      </c>
      <c r="I204" t="str">
        <v>생활환경사회연구실</v>
      </c>
      <c r="J204">
        <v>15000000</v>
      </c>
      <c r="K204" s="1" t="d">
        <v>2025-06-30T23:59:08.000Z</v>
      </c>
      <c r="L204" s="1" t="d">
        <v>2025-12-30T23:59:08.000Z</v>
      </c>
      <c r="N204" t="str">
        <v>Enhancing Community Acceptance of Offshore Wind Power through Public-Private Committee Operations</v>
      </c>
      <c r="O204" t="str">
        <f>IFERROR(VLOOKUP($G204,[1]DB2!$A:$B,2,0),"공동과책 확인")</f>
        <v>Kim, Dokyun</v>
      </c>
      <c r="P204" t="str">
        <v>Socio-Environmental Interface</v>
      </c>
      <c r="Q204" t="str">
        <v>Carbon Neutrality and Energy</v>
      </c>
      <c r="R204" t="str">
        <f>IFERROR(VLOOKUP($I204,[1]DB2!$F$2:$I$58,2,0),"옛날 부서명 확인")</f>
        <v xml:space="preserve">Living Environment and Society Division </v>
      </c>
      <c r="S204" t="str">
        <f>IFERROR(VLOOKUP($I204,[1]DB2!$F$2:$I$58,4,0),"옛날 부서명 확인")</f>
        <v xml:space="preserve">Sustainable Development Research Group  </v>
      </c>
    </row>
    <row r="205">
      <c r="A205" t="str">
        <v>262</v>
      </c>
      <c r="B205" t="str">
        <v>수탁과제</v>
      </c>
      <c r="C205" t="str">
        <v>2025-094</v>
      </c>
      <c r="D205" t="str">
        <v>배출권거래제 대상 온실가스 배출량 증감 원인 분석연구</v>
      </c>
      <c r="F205" t="str">
        <v>10344</v>
      </c>
      <c r="G205" t="str">
        <v>이정은</v>
      </c>
      <c r="H205" t="str">
        <v>202508197</v>
      </c>
      <c r="I205" t="str">
        <v>탄소중립연구실</v>
      </c>
      <c r="J205">
        <v>69000000</v>
      </c>
      <c r="K205" s="1" t="d">
        <v>2025-07-02T23:59:08.000Z</v>
      </c>
      <c r="L205" s="1" t="d">
        <v>2025-12-28T23:59:08.000Z</v>
      </c>
      <c r="M205" t="str">
        <v>환경부 기후경제과</v>
      </c>
      <c r="N205" t="str">
        <v>Study on Drivers of Change in GHG Emissions under the ETS</v>
      </c>
      <c r="O205" t="str">
        <f>IFERROR(VLOOKUP($G205,[1]DB2!$A:$B,2,0),"공동과책 확인")</f>
        <v>Lee, Jeongeun</v>
      </c>
      <c r="P205" t="str">
        <v>Carbon Neutrality and Energy</v>
      </c>
      <c r="Q205" t="str">
        <v>Environmental Economics</v>
      </c>
      <c r="R205" t="str">
        <f>IFERROR(VLOOKUP($I205,[1]DB2!$F$2:$I$58,2,0),"옛날 부서명 확인")</f>
        <v xml:space="preserve">Carbon Neutrality Division </v>
      </c>
      <c r="S205" t="str">
        <f>IFERROR(VLOOKUP($I205,[1]DB2!$F$2:$I$58,4,0),"옛날 부서명 확인")</f>
        <v xml:space="preserve">Climate and Atmospheric Strategy Research Group  </v>
      </c>
    </row>
    <row r="206">
      <c r="A206" t="str">
        <v>263</v>
      </c>
      <c r="B206" t="str">
        <v>수탁과제</v>
      </c>
      <c r="C206" t="str">
        <v>2025-096</v>
      </c>
      <c r="D206" t="str">
        <v>2025년 해양폐기물 실태조사</v>
      </c>
      <c r="F206" t="str">
        <v>10257</v>
      </c>
      <c r="G206" t="str">
        <v>김충기</v>
      </c>
      <c r="H206" t="str">
        <v>202508192</v>
      </c>
      <c r="I206" t="str">
        <v>자연환경연구실</v>
      </c>
      <c r="J206">
        <v>50000000</v>
      </c>
      <c r="K206" s="1" t="d">
        <v>2025-07-06T23:59:08.000Z</v>
      </c>
      <c r="L206" s="1" t="d">
        <v>2025-12-25T23:59:08.000Z</v>
      </c>
      <c r="M206" t="str">
        <v>해양환경공단</v>
      </c>
      <c r="N206" t="str">
        <v>2025 Survey on the Status of Marine Waste</v>
      </c>
      <c r="O206" t="str">
        <f>IFERROR(VLOOKUP($G206,[1]DB2!$A:$B,2,0),"공동과책 확인")</f>
        <v>Kim, Choong-ki</v>
      </c>
      <c r="P206" t="str">
        <v>Marine Environment</v>
      </c>
      <c r="R206" t="str">
        <f>IFERROR(VLOOKUP($I206,[1]DB2!$F$2:$I$58,2,0),"옛날 부서명 확인")</f>
        <v xml:space="preserve">Natural Environment Division </v>
      </c>
      <c r="S206" t="str">
        <f>IFERROR(VLOOKUP($I206,[1]DB2!$F$2:$I$58,4,0),"옛날 부서명 확인")</f>
        <v xml:space="preserve">Land and Environment Research Group </v>
      </c>
    </row>
    <row r="207">
      <c r="A207" t="str">
        <v>264</v>
      </c>
      <c r="B207" t="str">
        <v>수탁과제</v>
      </c>
      <c r="C207" t="str">
        <v>2025-095</v>
      </c>
      <c r="D207" t="str">
        <v>2025년 산업계 녹색화학 전환지원 기반구축 사업</v>
      </c>
      <c r="F207" t="str">
        <v>10236</v>
      </c>
      <c r="G207" t="str">
        <v>서양원</v>
      </c>
      <c r="H207" t="str">
        <v>202508178</v>
      </c>
      <c r="I207" t="str">
        <v>지속가능발전연구본부</v>
      </c>
      <c r="J207">
        <v>176557080</v>
      </c>
      <c r="K207" s="1" t="d">
        <v>2025-07-07T23:59:08.000Z</v>
      </c>
      <c r="L207" s="1" t="d">
        <v>2026-05-02T23:59:08.000Z</v>
      </c>
      <c r="M207" t="str">
        <v>환경부 화학물질정책과</v>
      </c>
      <c r="N207" t="str">
        <v>2025 Project for Developing Infrastructure to Support the Transition to Green Chemistry in Industry</v>
      </c>
      <c r="O207" t="str">
        <f>IFERROR(VLOOKUP($G207,[1]DB2!$A:$B,2,0),"공동과책 확인")</f>
        <v>Suh, Yang-won</v>
      </c>
      <c r="P207" t="str">
        <v>Circular Economy</v>
      </c>
      <c r="Q207" t="str">
        <v>Carbon Neutrality and Energy</v>
      </c>
      <c r="R207" t="str">
        <f>IFERROR(VLOOKUP($I207,[1]DB2!$F$2:$I$58,2,0),"옛날 부서명 확인")</f>
        <v xml:space="preserve">Sustainable Development Research Group  </v>
      </c>
      <c r="S207" t="str">
        <f>IFERROR(VLOOKUP($I207,[1]DB2!$F$2:$I$58,4,0),"옛날 부서명 확인")</f>
        <v xml:space="preserve">Sustainable Development Research Group  </v>
      </c>
    </row>
    <row r="208">
      <c r="A208" t="str">
        <v>265</v>
      </c>
      <c r="B208" t="str">
        <v>수탁과제</v>
      </c>
      <c r="C208" t="str">
        <v>2025-097</v>
      </c>
      <c r="D208" t="str">
        <v>2024년 기준 환경보호지출계정 편제</v>
      </c>
      <c r="F208" t="str">
        <v>10139</v>
      </c>
      <c r="G208" t="str">
        <v>김종호</v>
      </c>
      <c r="H208" t="str">
        <v>202508204</v>
      </c>
      <c r="I208" t="str">
        <v>순환경제연구실</v>
      </c>
      <c r="J208">
        <v>130990000</v>
      </c>
      <c r="K208" s="1" t="d">
        <v>2025-07-09T23:59:08.000Z</v>
      </c>
      <c r="L208" s="1" t="d">
        <v>2026-05-04T23:59:08.000Z</v>
      </c>
      <c r="M208" t="str">
        <v>환경부 녹색기술개발과</v>
      </c>
      <c r="N208" t="str">
        <v>Compilation of Environmental Protection Expenditure Accounts for 2024</v>
      </c>
      <c r="O208" t="str">
        <f>IFERROR(VLOOKUP($G208,[1]DB2!$A:$B,2,0),"공동과책 확인")</f>
        <v>Kim, Jongho</v>
      </c>
      <c r="P208" t="str">
        <v>Environmental Economics</v>
      </c>
      <c r="Q208" t="str">
        <v>AI and Environmental Informatics</v>
      </c>
      <c r="R208" t="str">
        <f>IFERROR(VLOOKUP($I208,[1]DB2!$F$2:$I$58,2,0),"옛날 부서명 확인")</f>
        <v xml:space="preserve">Circular Economy Division </v>
      </c>
      <c r="S208" t="str">
        <f>IFERROR(VLOOKUP($I208,[1]DB2!$F$2:$I$58,4,0),"옛날 부서명 확인")</f>
        <v xml:space="preserve">Sustainable Development Research Group  </v>
      </c>
    </row>
    <row r="209">
      <c r="A209" t="str">
        <v>266</v>
      </c>
      <c r="B209" t="str">
        <v>수탁과제</v>
      </c>
      <c r="C209" t="str">
        <v>2025-098</v>
      </c>
      <c r="D209" t="str">
        <v>세계 생물다양성 프레임워크 이행을 위한 유전자 다양성 국가지표(안)(2차년도)</v>
      </c>
      <c r="F209" t="str">
        <v>10300</v>
      </c>
      <c r="G209" t="str">
        <v>구경아</v>
      </c>
      <c r="H209" t="str">
        <v>202508192</v>
      </c>
      <c r="I209" t="str">
        <v>자연환경연구실</v>
      </c>
      <c r="J209">
        <v>72000000</v>
      </c>
      <c r="K209" s="1" t="d">
        <v>2025-07-13T23:59:08.000Z</v>
      </c>
      <c r="L209" s="1" t="d">
        <v>2026-03-09T23:59:08.000Z</v>
      </c>
      <c r="M209" t="str">
        <v>국립생물자원관</v>
      </c>
      <c r="N209" t="str">
        <v>Developing National Genetic Diversity Indicators to Support Implementation of the Global Biodiversity Framework (Year 2)</v>
      </c>
      <c r="O209" t="str">
        <f>IFERROR(VLOOKUP($G209,[1]DB2!$A:$B,2,0),"공동과책 확인")</f>
        <v xml:space="preserve">Koo, Kyung Ah </v>
      </c>
      <c r="P209" t="str">
        <v>Ecology</v>
      </c>
      <c r="Q209" t="str">
        <v>International Environmental Collaboration</v>
      </c>
      <c r="R209" t="str">
        <f>IFERROR(VLOOKUP($I209,[1]DB2!$F$2:$I$58,2,0),"옛날 부서명 확인")</f>
        <v xml:space="preserve">Natural Environment Division </v>
      </c>
      <c r="S209" t="str">
        <f>IFERROR(VLOOKUP($I209,[1]DB2!$F$2:$I$58,4,0),"옛날 부서명 확인")</f>
        <v xml:space="preserve">Land and Environment Research Group </v>
      </c>
    </row>
    <row r="210">
      <c r="A210" t="str">
        <v>267</v>
      </c>
      <c r="B210" t="str">
        <v>수탁과제</v>
      </c>
      <c r="C210" t="str">
        <v>2025-099</v>
      </c>
      <c r="D210" t="str">
        <v>실내공기질 오염물질 지정체계 마련</v>
      </c>
      <c r="F210" t="str">
        <v>10297</v>
      </c>
      <c r="G210" t="str">
        <v>정다운</v>
      </c>
      <c r="H210" t="str">
        <v>202508119</v>
      </c>
      <c r="I210" t="str">
        <v>환경보건연구실</v>
      </c>
      <c r="J210">
        <v>49500000</v>
      </c>
      <c r="K210" s="1" t="d">
        <v>2025-07-17T23:59:08.000Z</v>
      </c>
      <c r="L210" s="1" t="d">
        <v>2026-04-12T23:59:08.000Z</v>
      </c>
      <c r="M210" t="str">
        <v>환경부</v>
      </c>
      <c r="N210" t="str">
        <v>Development of a Regulatory Framework for Indoor Air Pollutant Designation</v>
      </c>
      <c r="O210" t="str">
        <f>IFERROR(VLOOKUP($G210,[1]DB2!$A:$B,2,0),"공동과책 확인")</f>
        <v xml:space="preserve">Jung, Dawoon </v>
      </c>
      <c r="P210" t="str">
        <v>Environmental Health</v>
      </c>
      <c r="R210" t="str">
        <f>IFERROR(VLOOKUP($I210,[1]DB2!$F$2:$I$58,2,0),"옛날 부서명 확인")</f>
        <v xml:space="preserve">Environmental Health Division </v>
      </c>
      <c r="S210" t="str">
        <f>IFERROR(VLOOKUP($I210,[1]DB2!$F$2:$I$58,4,0),"옛날 부서명 확인")</f>
        <v xml:space="preserve">Sustainable Development Research Group  </v>
      </c>
    </row>
    <row r="211">
      <c r="A211" t="str">
        <v>268</v>
      </c>
      <c r="B211" t="str">
        <v>수탁과제</v>
      </c>
      <c r="C211" t="str">
        <v>2025-100</v>
      </c>
      <c r="D211" t="str">
        <v>응축성 미세먼지 생성에 미치는 배출 영향 평가 연구</v>
      </c>
      <c r="F211" t="str">
        <v>50021</v>
      </c>
      <c r="G211" t="str">
        <v>공성용</v>
      </c>
      <c r="H211" t="str">
        <v>202508187</v>
      </c>
      <c r="I211" t="str">
        <v>대기환경연구실</v>
      </c>
      <c r="J211">
        <v>58800000</v>
      </c>
      <c r="K211" s="1" t="d">
        <v>2025-07-24T23:59:08.000Z</v>
      </c>
      <c r="L211" s="1" t="d">
        <v>2026-03-23T23:59:08.000Z</v>
      </c>
      <c r="M211" t="str">
        <v>국립환경과학원 대기공학연구과</v>
      </c>
      <c r="N211" t="str">
        <v>Study on the Impact of Emissions on the Formation of Condensable Fine Particles</v>
      </c>
      <c r="O211" t="str">
        <f>IFERROR(VLOOKUP($G211,[1]DB2!$A:$B,2,0),"공동과책 확인")</f>
        <v>Gong, Sungyong</v>
      </c>
      <c r="P211" t="str">
        <v>Atmospheric Environment</v>
      </c>
      <c r="Q211" t="str">
        <v>Environmental Health</v>
      </c>
      <c r="R211" t="str">
        <f>IFERROR(VLOOKUP($I211,[1]DB2!$F$2:$I$58,2,0),"옛날 부서명 확인")</f>
        <v>Atmospheric Environment Division</v>
      </c>
      <c r="S211" t="str">
        <f>IFERROR(VLOOKUP($I211,[1]DB2!$F$2:$I$58,4,0),"옛날 부서명 확인")</f>
        <v xml:space="preserve">Climate and Atmospheric Strategy Research Group  </v>
      </c>
    </row>
    <row r="212">
      <c r="A212" t="str">
        <v>270</v>
      </c>
      <c r="B212" t="str">
        <v>수탁과제</v>
      </c>
      <c r="C212" t="str">
        <v>2025-102</v>
      </c>
      <c r="D212" t="str">
        <v>환경부 소속.산하생물자원관 기후변화 연구 로드맵(26~30)수립</v>
      </c>
      <c r="F212" t="str">
        <v>10279</v>
      </c>
      <c r="G212" t="str">
        <v>김윤정</v>
      </c>
      <c r="H212" t="str">
        <v>202508192</v>
      </c>
      <c r="I212" t="str">
        <v>자연환경연구실</v>
      </c>
      <c r="J212">
        <v>87272720</v>
      </c>
      <c r="K212" s="1" t="d">
        <v>2025-08-03T23:59:08.000Z</v>
      </c>
      <c r="L212" s="1" t="d">
        <v>2026-05-29T23:59:08.000Z</v>
      </c>
      <c r="M212" t="str">
        <v>국립생물자원관</v>
      </c>
      <c r="N212" t="str">
        <v>Developing the Climate Change Research Roadmap (2026–2030) for the National Institute of Biological Resources under the Ministry of Environment</v>
      </c>
      <c r="O212" t="str">
        <f>IFERROR(VLOOKUP($G212,[1]DB2!$A:$B,2,0),"공동과책 확인")</f>
        <v>Kim, Yoonjung</v>
      </c>
      <c r="P212" t="str">
        <v>Climate Adaptation</v>
      </c>
      <c r="R212" t="str">
        <f>IFERROR(VLOOKUP($I212,[1]DB2!$F$2:$I$58,2,0),"옛날 부서명 확인")</f>
        <v xml:space="preserve">Natural Environment Division </v>
      </c>
      <c r="S212" t="str">
        <f>IFERROR(VLOOKUP($I212,[1]DB2!$F$2:$I$58,4,0),"옛날 부서명 확인")</f>
        <v xml:space="preserve">Land and Environment Research Group </v>
      </c>
    </row>
    <row r="213">
      <c r="A213" t="str">
        <v>271</v>
      </c>
      <c r="B213" t="str">
        <v>수탁과제</v>
      </c>
      <c r="C213" t="str">
        <v>2025-104</v>
      </c>
      <c r="D213" t="str">
        <v>개발제한구역 환경평가 개선방안 연구</v>
      </c>
      <c r="F213" t="str">
        <v>10084</v>
      </c>
      <c r="G213" t="str">
        <v>윤정호</v>
      </c>
      <c r="H213" t="str">
        <v>202508205</v>
      </c>
      <c r="I213" t="str">
        <v>국토관리연구실</v>
      </c>
      <c r="J213">
        <v>89090900</v>
      </c>
      <c r="K213" s="1" t="d">
        <v>2025-08-06T23:59:08.000Z</v>
      </c>
      <c r="L213" s="1" t="d">
        <v>2026-06-02T23:59:08.000Z</v>
      </c>
      <c r="M213" t="str">
        <v>국토교통부</v>
      </c>
      <c r="N213" t="str">
        <v>Enhancing Environmental Assessment for Development-Restricted Areas</v>
      </c>
      <c r="O213" t="str">
        <f>IFERROR(VLOOKUP($G213,[1]DB2!$A:$B,2,0),"공동과책 확인")</f>
        <v>Yoon, Jeongho</v>
      </c>
      <c r="P213" t="str">
        <v>Land and Urban Environment</v>
      </c>
      <c r="Q213" t="str">
        <v>Environmental Assessment</v>
      </c>
      <c r="R213" t="str">
        <f>IFERROR(VLOOKUP($I213,[1]DB2!$F$2:$I$58,2,0),"옛날 부서명 확인")</f>
        <v>Spatial Planning and Management Division</v>
      </c>
      <c r="S213" t="str">
        <f>IFERROR(VLOOKUP($I213,[1]DB2!$F$2:$I$58,4,0),"옛날 부서명 확인")</f>
        <v xml:space="preserve">Land and Environment Research Group </v>
      </c>
    </row>
    <row r="214">
      <c r="A214" t="str">
        <v>272</v>
      </c>
      <c r="B214" t="str">
        <v>수탁과제</v>
      </c>
      <c r="C214" t="str">
        <v>2025-103</v>
      </c>
      <c r="D214" t="str">
        <v>지하수 관리 법정계획 정책지표 설정방안 연구</v>
      </c>
      <c r="F214" t="str">
        <v>10226</v>
      </c>
      <c r="G214" t="str">
        <v>현윤정</v>
      </c>
      <c r="H214" t="str">
        <v>202508190</v>
      </c>
      <c r="I214" t="str">
        <v>물관리연구실</v>
      </c>
      <c r="J214">
        <v>135400000</v>
      </c>
      <c r="K214" s="1" t="d">
        <v>2025-08-07T23:59:08.000Z</v>
      </c>
      <c r="L214" s="1" t="d">
        <v>2026-08-06T23:59:08.000Z</v>
      </c>
      <c r="M214" t="str">
        <v>환경부 토양지하수과</v>
      </c>
      <c r="N214" t="str">
        <v>Developing Policy Indicators for Statutory Plans of Groundwater Management</v>
      </c>
      <c r="O214" t="str">
        <f>IFERROR(VLOOKUP($G214,[1]DB2!$A:$B,2,0),"공동과책 확인")</f>
        <v>Hyun, Yunjung</v>
      </c>
      <c r="P214" t="str">
        <v>Water Management</v>
      </c>
      <c r="R214" t="str">
        <f>IFERROR(VLOOKUP($I214,[1]DB2!$F$2:$I$58,2,0),"옛날 부서명 확인")</f>
        <v xml:space="preserve">Water Management Division </v>
      </c>
      <c r="S214" t="str">
        <f>IFERROR(VLOOKUP($I214,[1]DB2!$F$2:$I$58,4,0),"옛날 부서명 확인")</f>
        <v xml:space="preserve">Land and Environment Research Group </v>
      </c>
    </row>
    <row r="215">
      <c r="A215" t="str">
        <v>273</v>
      </c>
      <c r="B215" t="str">
        <v>수탁과제</v>
      </c>
      <c r="C215" t="str">
        <v>2025-106</v>
      </c>
      <c r="D215" t="str">
        <v>국가생물다양성융복합센터 사전타당성 검토 및 기본구상 마련 연구</v>
      </c>
      <c r="F215" t="str">
        <v>10304</v>
      </c>
      <c r="G215" t="str">
        <v>이후승</v>
      </c>
      <c r="H215" t="str">
        <v>202508192</v>
      </c>
      <c r="I215" t="str">
        <v>자연환경연구실</v>
      </c>
      <c r="J215">
        <v>76440000</v>
      </c>
      <c r="K215" s="1" t="d">
        <v>2025-08-20T23:59:08.000Z</v>
      </c>
      <c r="L215" s="1" t="d">
        <v>2026-04-29T23:59:08.000Z</v>
      </c>
      <c r="M215" t="str">
        <v>환경부 생물다양성과</v>
      </c>
      <c r="N215" t="str">
        <v>Pre-Feasibility Assessment and Conceptual Planning for the National Biodiversity Convergence Center</v>
      </c>
      <c r="O215" t="str">
        <f>IFERROR(VLOOKUP($G215,[1]DB2!$A:$B,2,0),"공동과책 확인")</f>
        <v>Lee, Who-Seung</v>
      </c>
      <c r="P215" t="str">
        <v>Ecology</v>
      </c>
      <c r="Q215" t="str">
        <v>Sustainable Development</v>
      </c>
      <c r="R215" t="str">
        <f>IFERROR(VLOOKUP($I215,[1]DB2!$F$2:$I$58,2,0),"옛날 부서명 확인")</f>
        <v xml:space="preserve">Natural Environment Division </v>
      </c>
      <c r="S215" t="str">
        <f>IFERROR(VLOOKUP($I215,[1]DB2!$F$2:$I$58,4,0),"옛날 부서명 확인")</f>
        <v xml:space="preserve">Land and Environment Research Group </v>
      </c>
    </row>
    <row r="216">
      <c r="A216" t="str">
        <v>274</v>
      </c>
      <c r="B216" t="str">
        <v>수탁과제</v>
      </c>
      <c r="C216" t="str">
        <v>2025-107</v>
      </c>
      <c r="D216" t="str">
        <v>기후변화영향평가 추진체계 발전방안 연구</v>
      </c>
      <c r="F216" t="str">
        <v>10275</v>
      </c>
      <c r="G216" t="str">
        <v>김유미</v>
      </c>
      <c r="H216" t="str">
        <v>202508165</v>
      </c>
      <c r="I216" t="str">
        <v>기후에너지평가실</v>
      </c>
      <c r="J216">
        <v>280615630</v>
      </c>
      <c r="K216" s="1" t="d">
        <v>2025-08-28T23:59:08.000Z</v>
      </c>
      <c r="L216" s="1" t="d">
        <v>2026-08-27T23:59:08.000Z</v>
      </c>
      <c r="M216" t="str">
        <v>환경부 기후적응과</v>
      </c>
      <c r="N216" t="str">
        <v>Development of Measures to Enhance the Climate Change Impact Assessment Framework</v>
      </c>
      <c r="O216" t="str">
        <f>IFERROR(VLOOKUP($G216,[1]DB2!$A:$B,2,0),"공동과책 확인")</f>
        <v>Kim, Yumi</v>
      </c>
      <c r="P216" t="str">
        <v>Environmental Assessment</v>
      </c>
      <c r="Q216" t="str">
        <v>Climate Adaptation</v>
      </c>
      <c r="R216" t="str">
        <f>IFERROR(VLOOKUP($I216,[1]DB2!$F$2:$I$58,2,0),"옛날 부서명 확인")</f>
        <v xml:space="preserve">Climate and Energy Assessment Division </v>
      </c>
      <c r="S216" t="str">
        <f>IFERROR(VLOOKUP($I216,[1]DB2!$F$2:$I$58,4,0),"옛날 부서명 확인")</f>
        <v xml:space="preserve">Environmental Assessment Group </v>
      </c>
    </row>
    <row r="217">
      <c r="A217" t="str">
        <v>275</v>
      </c>
      <c r="B217" t="str">
        <v>수탁과제</v>
      </c>
      <c r="C217" t="str">
        <v>2025-108</v>
      </c>
      <c r="D217" t="str">
        <v>Korea’s Practice of Addressing Air Pollution and GHG Emissions from Small- and Medium-scale Industries</v>
      </c>
      <c r="F217" t="str">
        <v>10252</v>
      </c>
      <c r="G217" t="str">
        <v>장훈</v>
      </c>
      <c r="H217" t="str">
        <v>202508199</v>
      </c>
      <c r="I217" t="str">
        <v>기후대기전략연구본부</v>
      </c>
      <c r="J217">
        <v>209625000</v>
      </c>
      <c r="K217" s="1" t="d">
        <v>2025-08-31T23:59:08.000Z</v>
      </c>
      <c r="L217" s="1" t="d">
        <v>2027-03-29T23:59:08.000Z</v>
      </c>
      <c r="M217" t="str">
        <v>세계은행(World Bank)</v>
      </c>
      <c r="N217" t="str">
        <v>Korea’s Practice of Addressing Air Pollution and GHG Emissions from Small- and Medium-scale Industries</v>
      </c>
      <c r="O217" t="str">
        <f>IFERROR(VLOOKUP($G217,[1]DB2!$A:$B,2,0),"공동과책 확인")</f>
        <v>Chang, Hoon</v>
      </c>
      <c r="P217" t="str">
        <v>Climate Adaptation</v>
      </c>
      <c r="Q217" t="str">
        <v>Environmental Health</v>
      </c>
      <c r="R217" t="str">
        <f>IFERROR(VLOOKUP($I217,[1]DB2!$F$2:$I$58,2,0),"옛날 부서명 확인")</f>
        <v xml:space="preserve">Climate and Atmospheric Strategy Research Group  </v>
      </c>
      <c r="S217" t="str">
        <f>IFERROR(VLOOKUP($I217,[1]DB2!$F$2:$I$58,4,0),"옛날 부서명 확인")</f>
        <v xml:space="preserve">Climate and Atmospheric Strategy Research Group  </v>
      </c>
    </row>
    <row r="218">
      <c r="A218" t="str">
        <v>277</v>
      </c>
      <c r="B218" t="str">
        <v>기초과제</v>
      </c>
      <c r="C218" t="str">
        <v>BA2025-030-06</v>
      </c>
      <c r="D218" t="str">
        <v>(모과제) 한중일-아세안 녹색삼각협력을 위한 기초연구</v>
      </c>
      <c r="F218" t="str">
        <v>30051</v>
      </c>
      <c r="G218" t="str">
        <v>정성운</v>
      </c>
      <c r="H218" t="str">
        <v>202508197</v>
      </c>
      <c r="I218" t="str">
        <v>탄소중립연구실</v>
      </c>
      <c r="J218">
        <v>3000000</v>
      </c>
      <c r="K218" s="1" t="d">
        <v>2025-08-31T23:59:08.000Z</v>
      </c>
      <c r="L218" s="1" t="d">
        <v>2026-02-27T23:59:08.000Z</v>
      </c>
      <c r="N218" t="str">
        <v>Foundational Research for East Asia Green Triangular Cooperation</v>
      </c>
      <c r="O218" t="str">
        <f>IFERROR(VLOOKUP($G218,[1]DB2!$A:$B,2,0),"공동과책 확인")</f>
        <v>Jung, Sungwoon</v>
      </c>
      <c r="P218" t="str">
        <v>International Environmental Collaboration</v>
      </c>
      <c r="R218" t="str">
        <f>IFERROR(VLOOKUP($I218,[1]DB2!$F$2:$I$58,2,0),"옛날 부서명 확인")</f>
        <v xml:space="preserve">Carbon Neutrality Division </v>
      </c>
      <c r="S218" t="str">
        <f>IFERROR(VLOOKUP($I218,[1]DB2!$F$2:$I$58,4,0),"옛날 부서명 확인")</f>
        <v xml:space="preserve">Climate and Atmospheric Strategy Research Group  </v>
      </c>
    </row>
    <row r="219">
      <c r="A219" t="str">
        <v>278</v>
      </c>
      <c r="B219" t="str">
        <v>기초과제</v>
      </c>
      <c r="C219" t="str">
        <v>BA2025-030-07</v>
      </c>
      <c r="D219" t="str">
        <v>(모과제) 가뭄-산불 복합재난 리스크 평가 방법론 검토</v>
      </c>
      <c r="F219" t="str">
        <v>10355</v>
      </c>
      <c r="G219" t="str">
        <v>성경민</v>
      </c>
      <c r="H219" t="str">
        <v>202508190</v>
      </c>
      <c r="I219" t="str">
        <v>물관리연구실</v>
      </c>
      <c r="J219">
        <v>3000000</v>
      </c>
      <c r="K219" s="1" t="d">
        <v>2025-08-31T23:59:08.000Z</v>
      </c>
      <c r="L219" s="1" t="d">
        <v>2026-02-27T23:59:08.000Z</v>
      </c>
      <c r="N219" t="str">
        <v>Methodological Review of Compound Drought–Wildfire Disaster Risk Assessment</v>
      </c>
      <c r="O219" t="str">
        <f>IFERROR(VLOOKUP($G219,[1]DB2!$A:$B,2,0),"공동과책 확인")</f>
        <v xml:space="preserve">Sung, Kyungmin </v>
      </c>
      <c r="P219" t="str">
        <v>Climate Adaptation</v>
      </c>
      <c r="Q219" t="str">
        <v>Water Management</v>
      </c>
      <c r="R219" t="str">
        <f>IFERROR(VLOOKUP($I219,[1]DB2!$F$2:$I$58,2,0),"옛날 부서명 확인")</f>
        <v xml:space="preserve">Water Management Division </v>
      </c>
      <c r="S219" t="str">
        <f>IFERROR(VLOOKUP($I219,[1]DB2!$F$2:$I$58,4,0),"옛날 부서명 확인")</f>
        <v xml:space="preserve">Land and Environment Research Group </v>
      </c>
    </row>
    <row r="220">
      <c r="A220" t="str">
        <v>281</v>
      </c>
      <c r="B220" t="str">
        <v>수시과제</v>
      </c>
      <c r="C220" t="str">
        <v>WO2025-07</v>
      </c>
      <c r="D220" t="str">
        <v xml:space="preserve">도시 녹지네트워크 강화를 위한 법적체계 연계 및 관리 개선 방안 </v>
      </c>
      <c r="F220" t="str">
        <v>10336</v>
      </c>
      <c r="G220" t="str">
        <v>이지영</v>
      </c>
      <c r="H220" t="str">
        <v>202508205</v>
      </c>
      <c r="I220" t="str">
        <v>국토관리연구실</v>
      </c>
      <c r="J220">
        <v>15000000</v>
      </c>
      <c r="K220" s="1" t="d">
        <v>2025-08-31T23:59:08.000Z</v>
      </c>
      <c r="L220" s="1" t="d">
        <v>2026-02-27T23:59:08.000Z</v>
      </c>
      <c r="N220" t="str">
        <v>Development of Measures for Linking Legal Frameworks and Enhancing Management to Strengthen Urban Green Networks</v>
      </c>
      <c r="O220" t="str">
        <f>IFERROR(VLOOKUP($G220,[1]DB2!$A:$B,2,0),"공동과책 확인")</f>
        <v>Lee, Ji-Young</v>
      </c>
      <c r="P220" t="str">
        <v>Land and Urban Environment</v>
      </c>
      <c r="Q220" t="str">
        <v>Ecology</v>
      </c>
      <c r="R220" t="str">
        <f>IFERROR(VLOOKUP($I220,[1]DB2!$F$2:$I$58,2,0),"옛날 부서명 확인")</f>
        <v>Spatial Planning and Management Division</v>
      </c>
      <c r="S220" t="str">
        <f>IFERROR(VLOOKUP($I220,[1]DB2!$F$2:$I$58,4,0),"옛날 부서명 확인")</f>
        <v xml:space="preserve">Land and Environment Research Group </v>
      </c>
    </row>
    <row r="221">
      <c r="A221" t="str">
        <v>283</v>
      </c>
      <c r="B221" t="str">
        <v>수시과제</v>
      </c>
      <c r="C221" t="str">
        <v>WO2025-08</v>
      </c>
      <c r="D221" t="str">
        <v>노후계획도시의 AIoT 기반 지능형 생태도시로의 전략적 접근방안</v>
      </c>
      <c r="F221" t="str">
        <v>10186</v>
      </c>
      <c r="G221" t="str">
        <v>최희선,김근한</v>
      </c>
      <c r="H221" t="str">
        <v>202508205</v>
      </c>
      <c r="I221" t="str">
        <v>국토관리연구실</v>
      </c>
      <c r="J221">
        <v>15000000</v>
      </c>
      <c r="K221" s="1" t="d">
        <v>2025-08-31T23:59:08.000Z</v>
      </c>
      <c r="L221" s="1" t="d">
        <v>2026-02-27T23:59:08.000Z</v>
      </c>
      <c r="N221" t="str">
        <v>Strategic Approaches for Transitioning Aging Planned Cities into AIoT Enabled Intelligent Eco-Cities</v>
      </c>
      <c r="O221" t="str">
        <v>Choi, Hee-Sun and Kim, Geunhan</v>
      </c>
      <c r="P221" t="str">
        <v>AI and Environmental Informatics</v>
      </c>
      <c r="Q221" t="str">
        <v>Land and Urban Environment</v>
      </c>
      <c r="R221" t="str">
        <f>IFERROR(VLOOKUP($I221,[1]DB2!$F$2:$I$58,2,0),"옛날 부서명 확인")</f>
        <v>Spatial Planning and Management Division</v>
      </c>
      <c r="S221" t="str">
        <f>IFERROR(VLOOKUP($I221,[1]DB2!$F$2:$I$58,4,0),"옛날 부서명 확인")</f>
        <v xml:space="preserve">Land and Environment Research Group </v>
      </c>
    </row>
    <row r="222">
      <c r="A222" t="str">
        <v>285</v>
      </c>
      <c r="B222" t="str">
        <v>수시과제</v>
      </c>
      <c r="C222" t="str">
        <v>WO2025-09</v>
      </c>
      <c r="D222" t="str">
        <v xml:space="preserve">NDC 달성을 위한 기후환경산업 수출 활성화 이슈와 정책과제 </v>
      </c>
      <c r="F222" t="str">
        <v>10305</v>
      </c>
      <c r="G222" t="str">
        <v>신동원</v>
      </c>
      <c r="H222" t="str">
        <v>202508197</v>
      </c>
      <c r="I222" t="str">
        <v>탄소중립연구실</v>
      </c>
      <c r="J222">
        <v>15000000</v>
      </c>
      <c r="K222" s="1" t="d">
        <v>2025-08-31T23:59:08.000Z</v>
      </c>
      <c r="L222" s="1" t="d">
        <v>2026-02-27T23:59:08.000Z</v>
      </c>
      <c r="N222" t="str">
        <v>Issues and Policy Measures for Promoting Exports of Climate and Environmental Industries to Achieve NDC Targets</v>
      </c>
      <c r="O222" t="str">
        <f>IFERROR(VLOOKUP($G222,[1]DB2!$A:$B,2,0),"공동과책 확인")</f>
        <v>Shin, Dong Won</v>
      </c>
      <c r="P222" t="str">
        <v>Carbon Neutrality and Energy</v>
      </c>
      <c r="Q222" t="str">
        <v>International Environmental Collaboration</v>
      </c>
      <c r="R222" t="str">
        <f>IFERROR(VLOOKUP($I222,[1]DB2!$F$2:$I$58,2,0),"옛날 부서명 확인")</f>
        <v xml:space="preserve">Carbon Neutrality Division </v>
      </c>
      <c r="S222" t="str">
        <f>IFERROR(VLOOKUP($I222,[1]DB2!$F$2:$I$58,4,0),"옛날 부서명 확인")</f>
        <v xml:space="preserve">Climate and Atmospheric Strategy Research Group  </v>
      </c>
    </row>
    <row r="223">
      <c r="A223" t="str">
        <v>288</v>
      </c>
      <c r="B223" t="str">
        <v>수탁과제</v>
      </c>
      <c r="C223" t="str">
        <v>2025-109</v>
      </c>
      <c r="D223" t="str">
        <v>탄소국경조정제도 대응체계 마련 연구</v>
      </c>
      <c r="F223" t="str">
        <v>10327</v>
      </c>
      <c r="G223" t="str">
        <v>김성진</v>
      </c>
      <c r="H223" t="str">
        <v>202508197</v>
      </c>
      <c r="I223" t="str">
        <v>탄소중립연구실</v>
      </c>
      <c r="J223">
        <v>136360000</v>
      </c>
      <c r="K223" s="1" t="d">
        <v>2025-09-23T23:59:08.000Z</v>
      </c>
      <c r="L223" s="1" t="d">
        <v>2026-09-22T23:59:08.000Z</v>
      </c>
      <c r="M223" t="str">
        <v>환경부 기후경제과</v>
      </c>
      <c r="N223" t="str">
        <v>Development of a Response Framework for the Carbon Border Adjustment Mechanism</v>
      </c>
      <c r="O223" t="str">
        <f>IFERROR(VLOOKUP($G223,[1]DB2!$A:$B,2,0),"공동과책 확인")</f>
        <v>Kim, Sungjin</v>
      </c>
      <c r="P223" t="str">
        <v>Carbon Neutrality and Energy</v>
      </c>
      <c r="Q223" t="str">
        <v>International Environmental Collaboration</v>
      </c>
      <c r="R223" t="str">
        <f>IFERROR(VLOOKUP($I223,[1]DB2!$F$2:$I$58,2,0),"옛날 부서명 확인")</f>
        <v xml:space="preserve">Carbon Neutrality Division </v>
      </c>
      <c r="S223" t="str">
        <f>IFERROR(VLOOKUP($I223,[1]DB2!$F$2:$I$58,4,0),"옛날 부서명 확인")</f>
        <v xml:space="preserve">Climate and Atmospheric Strategy Research Group  </v>
      </c>
    </row>
    <row r="224">
      <c r="A224" t="str">
        <v>289</v>
      </c>
      <c r="B224" t="str">
        <v>수탁과제</v>
      </c>
      <c r="C224" t="str">
        <v>2025-110</v>
      </c>
      <c r="D224" t="str">
        <v>전기차 보조금 지원체계 개선 및 차종별 지원방안 마련 연구</v>
      </c>
      <c r="F224" t="str">
        <v>10344</v>
      </c>
      <c r="G224" t="str">
        <v>이정은</v>
      </c>
      <c r="H224" t="str">
        <v>202508197</v>
      </c>
      <c r="I224" t="str">
        <v>탄소중립연구실</v>
      </c>
      <c r="J224">
        <v>50000000</v>
      </c>
      <c r="K224" s="1" t="d">
        <v>2025-09-23T23:59:08.000Z</v>
      </c>
      <c r="L224" s="1" t="d">
        <v>2026-04-20T23:59:08.000Z</v>
      </c>
      <c r="M224" t="str">
        <v>환경부 대기미래전략과</v>
      </c>
      <c r="N224" t="str">
        <v>Enhancement of the Electric Vehicle Subsidy System and Development of Support Measures Tailored for Each Vehicle Type</v>
      </c>
      <c r="O224" t="str">
        <f>IFERROR(VLOOKUP($G224,[1]DB2!$A:$B,2,0),"공동과책 확인")</f>
        <v>Lee, Jeongeun</v>
      </c>
      <c r="P224" t="str">
        <v>Carbon Neutrality and Energy</v>
      </c>
      <c r="Q224" t="str">
        <v>Environmental Economics</v>
      </c>
      <c r="R224" t="str">
        <f>IFERROR(VLOOKUP($I224,[1]DB2!$F$2:$I$58,2,0),"옛날 부서명 확인")</f>
        <v xml:space="preserve">Carbon Neutrality Division </v>
      </c>
      <c r="S224" t="str">
        <f>IFERROR(VLOOKUP($I224,[1]DB2!$F$2:$I$58,4,0),"옛날 부서명 확인")</f>
        <v xml:space="preserve">Climate and Atmospheric Strategy Research Group  </v>
      </c>
    </row>
    <row r="225">
      <c r="A225" t="str">
        <v>290</v>
      </c>
      <c r="B225" t="str">
        <v>수탁과제</v>
      </c>
      <c r="C225" t="str">
        <v>2025-111</v>
      </c>
      <c r="D225" t="str">
        <v>글로벌 생물다양성 프레임워크 대응을 위한 생물다양성 관련 보조금 관리방안 연구</v>
      </c>
      <c r="F225" t="str">
        <v>10300</v>
      </c>
      <c r="G225" t="str">
        <v>구경아</v>
      </c>
      <c r="H225" t="str">
        <v>202508192</v>
      </c>
      <c r="I225" t="str">
        <v>자연환경연구실</v>
      </c>
      <c r="J225">
        <v>214500000</v>
      </c>
      <c r="K225" s="1" t="d">
        <v>2025-09-24T23:59:08.000Z</v>
      </c>
      <c r="L225" s="1" t="d">
        <v>2026-09-23T23:59:08.000Z</v>
      </c>
      <c r="M225" t="str">
        <v>환경부 자연생태정책과</v>
      </c>
      <c r="N225" t="str">
        <v>Developing Biodiversity Subsidy Management Measures to Support Implementation of the Global Biodiversity Framework</v>
      </c>
      <c r="O225" t="str">
        <f>IFERROR(VLOOKUP($G225,[1]DB2!$A:$B,2,0),"공동과책 확인")</f>
        <v xml:space="preserve">Koo, Kyung Ah </v>
      </c>
      <c r="P225" t="str">
        <v>Ecology</v>
      </c>
      <c r="Q225" t="str">
        <v>Environmental Economics</v>
      </c>
      <c r="R225" t="str">
        <f>IFERROR(VLOOKUP($I225,[1]DB2!$F$2:$I$58,2,0),"옛날 부서명 확인")</f>
        <v xml:space="preserve">Natural Environment Division </v>
      </c>
      <c r="S225" t="str">
        <f>IFERROR(VLOOKUP($I225,[1]DB2!$F$2:$I$58,4,0),"옛날 부서명 확인")</f>
        <v xml:space="preserve">Land and Environment Research Group </v>
      </c>
    </row>
    <row r="226">
      <c r="A226" t="str">
        <v>291</v>
      </c>
      <c r="B226" t="str">
        <v>수탁과제</v>
      </c>
      <c r="C226" t="str">
        <v>2025-112</v>
      </c>
      <c r="D226" t="str">
        <v>생물다양성협약 쿤밍-몬트리올 GBF 이행동향 분석 및 대응방안 연구(III)</v>
      </c>
      <c r="F226" t="str">
        <v>10304</v>
      </c>
      <c r="G226" t="str">
        <v>이후승</v>
      </c>
      <c r="H226" t="str">
        <v>202508192</v>
      </c>
      <c r="I226" t="str">
        <v>자연환경연구실</v>
      </c>
      <c r="J226">
        <v>62200000</v>
      </c>
      <c r="K226" s="1" t="d">
        <v>2025-09-24T23:59:08.000Z</v>
      </c>
      <c r="L226" s="1" t="d">
        <v>2026-03-22T23:59:08.000Z</v>
      </c>
      <c r="M226" t="str">
        <v>환경부 국제환경협약팀</v>
      </c>
      <c r="N226" t="str">
        <v>Analysis of Implementation Trends and Development of Response Measures for the CBD Kunming-Montreal Global Biodiversity Framework (III)</v>
      </c>
      <c r="O226" t="str">
        <f>IFERROR(VLOOKUP($G226,[1]DB2!$A:$B,2,0),"공동과책 확인")</f>
        <v>Lee, Who-Seung</v>
      </c>
      <c r="P226" t="str">
        <v>Ecology</v>
      </c>
      <c r="Q226" t="str">
        <v>International Environmental Collaboration</v>
      </c>
      <c r="R226" t="str">
        <f>IFERROR(VLOOKUP($I226,[1]DB2!$F$2:$I$58,2,0),"옛날 부서명 확인")</f>
        <v xml:space="preserve">Natural Environment Division </v>
      </c>
      <c r="S226" t="str">
        <f>IFERROR(VLOOKUP($I226,[1]DB2!$F$2:$I$58,4,0),"옛날 부서명 확인")</f>
        <v xml:space="preserve">Land and Environment Research Group </v>
      </c>
    </row>
    <row r="227">
      <c r="A227" t="str">
        <v>292</v>
      </c>
      <c r="B227" t="str">
        <v>수탁과제</v>
      </c>
      <c r="C227" t="str">
        <v>2025-105(R)</v>
      </c>
      <c r="D227" t="str">
        <v>AI 기반 음향·공간정보 융합을 통한 준실시간 생물다양성 모니터링 실용화 기술 개발</v>
      </c>
      <c r="F227" t="str">
        <v>10346</v>
      </c>
      <c r="G227" t="str">
        <v>최유영</v>
      </c>
      <c r="H227" t="str">
        <v>202508163</v>
      </c>
      <c r="I227" t="str">
        <v>국토전략평가실</v>
      </c>
      <c r="J227">
        <v>52500000</v>
      </c>
      <c r="K227" s="1" t="d">
        <v>2025-09-30T23:59:08.000Z</v>
      </c>
      <c r="L227" s="1" t="d">
        <v>2025-12-30T23:59:08.000Z</v>
      </c>
      <c r="M227" t="str">
        <v>한국연구재단</v>
      </c>
      <c r="N227" t="str">
        <v>BiodivAID: Advanced Biodiversity AI-driven Assessment Platform for Informed Environmental Decision-Making  (Year 1)</v>
      </c>
      <c r="O227" t="str">
        <f>IFERROR(VLOOKUP($G227,[1]DB2!$A:$B,2,0),"공동과책 확인")</f>
        <v>Choi, Yuyoung</v>
      </c>
      <c r="P227" t="str">
        <v>AI and Environmental Informatics</v>
      </c>
      <c r="Q227" t="str">
        <v>Ecology</v>
      </c>
      <c r="R227" t="str">
        <f>IFERROR(VLOOKUP($I227,[1]DB2!$F$2:$I$58,2,0),"옛날 부서명 확인")</f>
        <v xml:space="preserve">Land Strategy Assessment Division </v>
      </c>
      <c r="S227" t="str">
        <f>IFERROR(VLOOKUP($I227,[1]DB2!$F$2:$I$58,4,0),"옛날 부서명 확인")</f>
        <v xml:space="preserve">Environmental Assessment Group </v>
      </c>
    </row>
    <row r="228">
      <c r="A228" t="str">
        <v>294</v>
      </c>
      <c r="B228" t="str">
        <v>수탁과제</v>
      </c>
      <c r="C228" t="str">
        <v>2025-114</v>
      </c>
      <c r="D228" t="str">
        <v>탄소중립 신산업의 경쟁력 강화를 위한 지원체계 마련 연구</v>
      </c>
      <c r="F228" t="str">
        <v>10305</v>
      </c>
      <c r="G228" t="str">
        <v>신동원</v>
      </c>
      <c r="H228" t="str">
        <v>202508095</v>
      </c>
      <c r="I228" t="str">
        <v>녹색경제연구실</v>
      </c>
      <c r="J228">
        <v>50000000</v>
      </c>
      <c r="K228" s="1" t="d">
        <v>2025-10-01T23:59:08.000Z</v>
      </c>
      <c r="L228" s="1" t="d">
        <v>2026-04-01T23:59:08.000Z</v>
      </c>
      <c r="M228" t="str">
        <v>기획재정부 기후대응전략과</v>
      </c>
      <c r="N228" t="str">
        <v>Development of a Support Framework to Enhance the Competitiveness of Carbon-Neutral Emerging Industries</v>
      </c>
      <c r="O228" t="str">
        <f>IFERROR(VLOOKUP($G228,[1]DB2!$A:$B,2,0),"공동과책 확인")</f>
        <v>Shin, Dong Won</v>
      </c>
      <c r="P228" t="str">
        <v>Carbon Neutrality and Energy</v>
      </c>
      <c r="Q228" t="str">
        <v>Environmental Economics</v>
      </c>
      <c r="R228" t="str">
        <f>IFERROR(VLOOKUP($I228,[1]DB2!$F$2:$I$58,2,0),"옛날 부서명 확인")</f>
        <v xml:space="preserve">Green Economy Division </v>
      </c>
      <c r="S228" t="str">
        <f>IFERROR(VLOOKUP($I228,[1]DB2!$F$2:$I$58,4,0),"옛날 부서명 확인")</f>
        <v xml:space="preserve">Climate and Atmospheric Strategy Research Group  </v>
      </c>
    </row>
    <row r="229">
      <c r="A229" t="str">
        <v>295</v>
      </c>
      <c r="B229" t="str">
        <v>수탁과제</v>
      </c>
      <c r="C229" t="str">
        <v>2025-113</v>
      </c>
      <c r="D229" t="str">
        <v>환경영향평가제도 신뢰성 제고를 위한 대행계약 제도 개선 및 운영방안 연구</v>
      </c>
      <c r="F229" t="str">
        <v>10249</v>
      </c>
      <c r="G229" t="str">
        <v>이영재</v>
      </c>
      <c r="H229" t="str">
        <v>202508163</v>
      </c>
      <c r="I229" t="str">
        <v>국토전략평가실</v>
      </c>
      <c r="J229">
        <v>49500000</v>
      </c>
      <c r="K229" s="1" t="d">
        <v>2025-10-12T23:59:08.000Z</v>
      </c>
      <c r="L229" s="1" t="d">
        <v>2026-06-08T23:59:08.000Z</v>
      </c>
      <c r="M229" t="str">
        <v>환경부 국토환경정책과</v>
      </c>
      <c r="N229" t="str">
        <v>Development of Measures to Improve the Agency Contract System and Operations for Enhancing the Reliability of the Environmental Impact Assessment System</v>
      </c>
      <c r="O229" t="str">
        <f>IFERROR(VLOOKUP($G229,[1]DB2!$A:$B,2,0),"공동과책 확인")</f>
        <v>Yi, Youngjae</v>
      </c>
      <c r="P229" t="str">
        <v>Environmental Assessment</v>
      </c>
      <c r="Q229" t="str">
        <v>Environmental Economics</v>
      </c>
      <c r="R229" t="str">
        <f>IFERROR(VLOOKUP($I229,[1]DB2!$F$2:$I$58,2,0),"옛날 부서명 확인")</f>
        <v xml:space="preserve">Land Strategy Assessment Division </v>
      </c>
      <c r="S229" t="str">
        <f>IFERROR(VLOOKUP($I229,[1]DB2!$F$2:$I$58,4,0),"옛날 부서명 확인")</f>
        <v xml:space="preserve">Environmental Assessment Group </v>
      </c>
    </row>
    <row r="230">
      <c r="A230" t="str">
        <v>296</v>
      </c>
      <c r="B230" t="str">
        <v>수탁과제</v>
      </c>
      <c r="C230" t="str">
        <v>2025-116</v>
      </c>
      <c r="D230" t="str">
        <v>제1차 국가물관리기본계획 타당성 검토 및 변경계획안 마련 연구(2차)</v>
      </c>
      <c r="F230" t="str">
        <v>10203</v>
      </c>
      <c r="G230" t="str">
        <v>한혜진</v>
      </c>
      <c r="H230" t="str">
        <v>202508190</v>
      </c>
      <c r="I230" t="str">
        <v>물관리연구실</v>
      </c>
      <c r="J230">
        <v>171000000</v>
      </c>
      <c r="K230" s="1" t="d">
        <v>2025-10-17T23:59:08.000Z</v>
      </c>
      <c r="L230" s="1" t="d">
        <v>2026-10-16T23:59:08.000Z</v>
      </c>
      <c r="M230" t="str">
        <v>기후에너지환경부 물관리총괄과</v>
      </c>
      <c r="N230" t="str">
        <v>Feasibility Review and Preparation of Draft Amendments for the First Master Plan for National Water Management (Phase 2)</v>
      </c>
      <c r="O230" t="str">
        <f>IFERROR(VLOOKUP($G230,[1]DB2!$A:$B,2,0),"공동과책 확인")</f>
        <v>Han, Haejin</v>
      </c>
      <c r="P230" t="str">
        <v>Water Management</v>
      </c>
      <c r="R230" t="str">
        <f>IFERROR(VLOOKUP($I230,[1]DB2!$F$2:$I$58,2,0),"옛날 부서명 확인")</f>
        <v xml:space="preserve">Water Management Division </v>
      </c>
      <c r="S230" t="str">
        <f>IFERROR(VLOOKUP($I230,[1]DB2!$F$2:$I$58,4,0),"옛날 부서명 확인")</f>
        <v xml:space="preserve">Land and Environment Research Group </v>
      </c>
    </row>
    <row r="231">
      <c r="A231" t="str">
        <v>297</v>
      </c>
      <c r="B231" t="str">
        <v>수탁과제</v>
      </c>
      <c r="C231" t="str">
        <v>2025-115</v>
      </c>
      <c r="D231" t="str">
        <v>첨단 물산업 육성 펀드 조성 방안 마련 연구</v>
      </c>
      <c r="F231" t="str">
        <v>10357</v>
      </c>
      <c r="G231" t="str">
        <v>오명진</v>
      </c>
      <c r="H231" t="str">
        <v>202508190</v>
      </c>
      <c r="I231" t="str">
        <v>물관리연구실</v>
      </c>
      <c r="J231">
        <v>49700000</v>
      </c>
      <c r="K231" s="1" t="d">
        <v>2025-10-27T23:59:08.000Z</v>
      </c>
      <c r="L231" s="1" t="d">
        <v>2026-06-23T23:59:08.000Z</v>
      </c>
      <c r="M231" t="str">
        <v>기후에너지환경부 물산업협력과</v>
      </c>
      <c r="N231" t="str">
        <v>Establishing a Fund to Support the Growth of the Advanced Water Industry</v>
      </c>
      <c r="O231" t="str">
        <f>IFERROR(VLOOKUP($G231,[1]DB2!$A:$B,2,0),"공동과책 확인")</f>
        <v xml:space="preserve">Oh, Myoungjin </v>
      </c>
      <c r="P231" t="str">
        <v>Water Management</v>
      </c>
      <c r="Q231" t="str">
        <v>Environmental Economics</v>
      </c>
      <c r="R231" t="str">
        <f>IFERROR(VLOOKUP($I231,[1]DB2!$F$2:$I$58,2,0),"옛날 부서명 확인")</f>
        <v xml:space="preserve">Water Management Division </v>
      </c>
      <c r="S231" t="str">
        <f>IFERROR(VLOOKUP($I231,[1]DB2!$F$2:$I$58,4,0),"옛날 부서명 확인")</f>
        <v xml:space="preserve">Land and Environment Research Group </v>
      </c>
    </row>
    <row r="232">
      <c r="A232" t="str">
        <v>299</v>
      </c>
      <c r="B232" t="str">
        <v>수시과제</v>
      </c>
      <c r="C232" t="str">
        <v>WO2025-10</v>
      </c>
      <c r="D232" t="str">
        <v>무공해차 전환 촉진을 위한 수송용 연료 상대가격 조정 및 세수 활용 방안</v>
      </c>
      <c r="F232" t="str">
        <v>10255</v>
      </c>
      <c r="G232" t="str">
        <v>한진석</v>
      </c>
      <c r="H232" t="str">
        <v>202508187</v>
      </c>
      <c r="I232" t="str">
        <v>대기환경연구실</v>
      </c>
      <c r="J232">
        <v>15000000</v>
      </c>
      <c r="K232" s="1" t="d">
        <v>2025-11-09T23:59:08.000Z</v>
      </c>
      <c r="L232" s="1" t="d">
        <v>2026-05-08T23:59:08.000Z</v>
      </c>
      <c r="N232" t="str">
        <v>Measures for Adjusting Transport Fuel Prices and Using Tax Revenues to Promote the Transition to Zero-Emission Vehicles</v>
      </c>
      <c r="O232" t="str">
        <f>IFERROR(VLOOKUP($G232,[1]DB2!$A:$B,2,0),"공동과책 확인")</f>
        <v>Hahn, Jinseok</v>
      </c>
      <c r="P232" t="str">
        <v>Carbon Neutrality and Energy</v>
      </c>
      <c r="Q232" t="str">
        <v>Environmental Economics</v>
      </c>
      <c r="R232" t="str">
        <f>IFERROR(VLOOKUP($I232,[1]DB2!$F$2:$I$58,2,0),"옛날 부서명 확인")</f>
        <v>Atmospheric Environment Division</v>
      </c>
      <c r="S232" t="str">
        <f>IFERROR(VLOOKUP($I232,[1]DB2!$F$2:$I$58,4,0),"옛날 부서명 확인")</f>
        <v xml:space="preserve">Climate and Atmospheric Strategy Research Group  </v>
      </c>
    </row>
    <row r="233">
      <c r="A233" t="str">
        <v>301</v>
      </c>
      <c r="B233" t="str">
        <v>수시과제</v>
      </c>
      <c r="C233" t="str">
        <v>WO2025-11</v>
      </c>
      <c r="D233" t="str">
        <v>하천홍수완충공간 확보 방안의 실효성 분석 및 정책 추진 과제</v>
      </c>
      <c r="F233" t="str">
        <v>10356</v>
      </c>
      <c r="G233" t="str">
        <v>최미경</v>
      </c>
      <c r="H233" t="str">
        <v>202508190</v>
      </c>
      <c r="I233" t="str">
        <v>물관리연구실</v>
      </c>
      <c r="J233">
        <v>15000000</v>
      </c>
      <c r="K233" s="1" t="d">
        <v>2025-11-09T23:59:08.000Z</v>
      </c>
      <c r="L233" s="1" t="d">
        <v>2026-05-08T23:59:08.000Z</v>
      </c>
      <c r="N233" t="str">
        <v>Assessment of Effectiveness and Policy Measures for Securing River Flood Buffer Spaces</v>
      </c>
      <c r="O233" t="str">
        <f>IFERROR(VLOOKUP($G233,[1]DB2!$A:$B,2,0),"공동과책 확인")</f>
        <v>Choi, Mikyoung</v>
      </c>
      <c r="P233" t="str">
        <v>Water Management</v>
      </c>
      <c r="Q233" t="str">
        <v>Climate Adaptation</v>
      </c>
      <c r="R233" t="str">
        <f>IFERROR(VLOOKUP($I233,[1]DB2!$F$2:$I$58,2,0),"옛날 부서명 확인")</f>
        <v xml:space="preserve">Water Management Division </v>
      </c>
      <c r="S233" t="str">
        <f>IFERROR(VLOOKUP($I233,[1]DB2!$F$2:$I$58,4,0),"옛날 부서명 확인")</f>
        <v xml:space="preserve">Land and Environment Research Group </v>
      </c>
    </row>
    <row r="234">
      <c r="A234" t="str">
        <v>303</v>
      </c>
      <c r="B234" t="str">
        <v>수탁과제</v>
      </c>
      <c r="C234" t="str">
        <v>2025-117</v>
      </c>
      <c r="D234" t="str">
        <v>통합관리사업장 사후관리 체계 개선 연구</v>
      </c>
      <c r="F234" t="str">
        <v>10189</v>
      </c>
      <c r="G234" t="str">
        <v>한대호</v>
      </c>
      <c r="H234" t="str">
        <v>202508190</v>
      </c>
      <c r="I234" t="str">
        <v>물관리연구실</v>
      </c>
      <c r="J234">
        <v>63300000</v>
      </c>
      <c r="K234" s="1" t="d">
        <v>2025-11-11T23:59:08.000Z</v>
      </c>
      <c r="L234" s="1" t="d">
        <v>2026-05-09T23:59:08.000Z</v>
      </c>
      <c r="M234" t="str">
        <v>기후에너지환경부 통합허가제도과</v>
      </c>
      <c r="N234" t="str">
        <v>Development of a Follow-Up Management Framework for Integrated Environmental Management Facilities</v>
      </c>
      <c r="O234" t="str">
        <f>IFERROR(VLOOKUP($G234,[1]DB2!$A:$B,2,0),"공동과책 확인")</f>
        <v>Han, Daeho</v>
      </c>
      <c r="P234" t="str">
        <v>Environmental Assessment</v>
      </c>
      <c r="Q234" t="str">
        <v>Environmental Health</v>
      </c>
      <c r="R234" t="str">
        <f>IFERROR(VLOOKUP($I234,[1]DB2!$F$2:$I$58,2,0),"옛날 부서명 확인")</f>
        <v xml:space="preserve">Water Management Division </v>
      </c>
      <c r="S234" t="str">
        <f>IFERROR(VLOOKUP($I234,[1]DB2!$F$2:$I$58,4,0),"옛날 부서명 확인")</f>
        <v xml:space="preserve">Land and Environment Research Group </v>
      </c>
    </row>
    <row r="235">
      <c r="B235" t="str">
        <v>기초과제</v>
      </c>
      <c r="C235" t="str">
        <v>BA2025-040-08</v>
      </c>
      <c r="D235" t="str">
        <v>(모과제) 폭염 리스크 평가 방법론 사례 분석을 통한 기후변화영향평가 개선방향</v>
      </c>
      <c r="F235" t="str">
        <v>10361</v>
      </c>
      <c r="G235" t="str">
        <v>윤석환</v>
      </c>
      <c r="H235" t="str">
        <v>202508206</v>
      </c>
      <c r="I235" t="str">
        <v>사회기반평가실</v>
      </c>
      <c r="J235">
        <v>3000000</v>
      </c>
      <c r="K235" s="1" t="d">
        <v>2025-12-07T23:59:08.000Z</v>
      </c>
      <c r="L235" s="1" t="d">
        <v>2026-06-06T23:59:08.000Z</v>
      </c>
      <c r="N235" t="str">
        <v>Improvement Strategies for Climate Change Impact Assessment through Case Studies of Heatwave Risk Evaluation Methodologies</v>
      </c>
      <c r="O235" t="str">
        <f>IFERROR(VLOOKUP($G235,[1]DB2!$A:$B,2,0),"공동과책 확인")</f>
        <v>Yun, Seokhwan</v>
      </c>
      <c r="P235" t="str">
        <v>Environmental Assessment</v>
      </c>
      <c r="Q235" t="str">
        <v>Climate Adaptation</v>
      </c>
      <c r="R235" t="str">
        <f>IFERROR(VLOOKUP($I235,[1]DB2!$F$2:$I$58,2,0),"옛날 부서명 확인")</f>
        <v xml:space="preserve">Social Infrastructure Assessment Division </v>
      </c>
      <c r="S235" t="str">
        <f>IFERROR(VLOOKUP($I235,[1]DB2!$F$2:$I$58,4,0),"옛날 부서명 확인")</f>
        <v xml:space="preserve">Environmental Assessment Group </v>
      </c>
    </row>
    <row r="236">
      <c r="B236" t="str">
        <v>기초과제</v>
      </c>
      <c r="C236" t="str">
        <v>BA2025-040-09</v>
      </c>
      <c r="D236" t="str">
        <v>(모과제) 탄소중립도시 공간계획 방법론 체계화를 위한 기초연구</v>
      </c>
      <c r="F236" t="str">
        <v>30057</v>
      </c>
      <c r="G236" t="str">
        <v>송슬기</v>
      </c>
      <c r="H236" t="str">
        <v>202508205</v>
      </c>
      <c r="I236" t="str">
        <v>국토관리연구실</v>
      </c>
      <c r="J236">
        <v>3000000</v>
      </c>
      <c r="K236" s="1" t="d">
        <v>2025-12-07T23:59:08.000Z</v>
      </c>
      <c r="L236" s="1" t="d">
        <v>2026-06-06T23:59:08.000Z</v>
      </c>
      <c r="N236" t="str">
        <v>A Foundational Study on Establishing a Spatial Planning Framework for Carbon-Neutral Cities</v>
      </c>
      <c r="O236" t="str">
        <f>IFERROR(VLOOKUP($G236,[1]DB2!$A:$B,2,0),"공동과책 확인")</f>
        <v>Song, Seulki</v>
      </c>
      <c r="P236" t="str">
        <v>Land and Urban Environment</v>
      </c>
      <c r="Q236" t="str">
        <v>Carbon Neutrality and Energy</v>
      </c>
      <c r="R236" t="str">
        <f>IFERROR(VLOOKUP($I236,[1]DB2!$F$2:$I$58,2,0),"옛날 부서명 확인")</f>
        <v>Spatial Planning and Management Division</v>
      </c>
      <c r="S236" t="str">
        <f>IFERROR(VLOOKUP($I236,[1]DB2!$F$2:$I$58,4,0),"옛날 부서명 확인")</f>
        <v xml:space="preserve">Land and Environment Research Group </v>
      </c>
    </row>
    <row r="237">
      <c r="B237" t="str">
        <v>수탁과제</v>
      </c>
      <c r="C237" t="str">
        <v>2025-118</v>
      </c>
      <c r="D237" t="str">
        <v>기후·녹색산업 육성·지원 제도 강화방안 연구</v>
      </c>
      <c r="F237" t="str">
        <v>10344</v>
      </c>
      <c r="G237" t="str">
        <v>이정은</v>
      </c>
      <c r="H237" t="str">
        <v>202508197</v>
      </c>
      <c r="I237" t="str">
        <v>탄소중립연구실</v>
      </c>
      <c r="J237">
        <v>79400000</v>
      </c>
      <c r="K237" s="1" t="d">
        <v>2025-12-08T23:59:08.000Z</v>
      </c>
      <c r="L237" s="1" t="d">
        <v>2026-06-06T23:59:08.000Z</v>
      </c>
      <c r="M237" t="str">
        <v>기후에너지환경부</v>
      </c>
      <c r="N237" t="str">
        <v>Strategies for Enhancing the Fostering and Support Mechanisms for Climate and Green Industries</v>
      </c>
      <c r="O237" t="str">
        <f>IFERROR(VLOOKUP($G237,[1]DB2!$A:$B,2,0),"공동과책 확인")</f>
        <v>Lee, Jeongeun</v>
      </c>
      <c r="P237" t="str">
        <v>Carbon Neutrality and Energy</v>
      </c>
      <c r="Q237" t="str">
        <v>Environmental Economics</v>
      </c>
      <c r="R237" t="str">
        <f>IFERROR(VLOOKUP($I237,[1]DB2!$F$2:$I$58,2,0),"옛날 부서명 확인")</f>
        <v xml:space="preserve">Carbon Neutrality Division </v>
      </c>
      <c r="S237" t="str">
        <f>IFERROR(VLOOKUP($I237,[1]DB2!$F$2:$I$58,4,0),"옛날 부서명 확인")</f>
        <v xml:space="preserve">Climate and Atmospheric Strategy Research Group  </v>
      </c>
    </row>
    <row r="238">
      <c r="B238" t="str">
        <v>수탁과제</v>
      </c>
      <c r="C238" t="str">
        <v>2025-119</v>
      </c>
      <c r="D238" t="str">
        <v>생태계서비스 촉진구역 지정 및 관리방안 연구(I)</v>
      </c>
      <c r="F238" t="str">
        <v>10186</v>
      </c>
      <c r="G238" t="str">
        <v>최희선</v>
      </c>
      <c r="H238" t="str">
        <v>202508205</v>
      </c>
      <c r="I238" t="str">
        <v>국토관리연구실</v>
      </c>
      <c r="J238">
        <v>49600000</v>
      </c>
      <c r="K238" s="1" t="d">
        <v>2025-12-08T23:59:08.000Z</v>
      </c>
      <c r="L238" s="1" t="d">
        <v>2026-06-06T23:59:08.000Z</v>
      </c>
      <c r="M238" t="str">
        <v>기후에너지환경부 자연생태정책과</v>
      </c>
      <c r="N238" t="str">
        <v>Designation and Management Strategies for Ecosystem Service Promotion Zones (I)</v>
      </c>
      <c r="O238" t="str">
        <f>IFERROR(VLOOKUP($G238,[1]DB2!$A:$B,2,0),"공동과책 확인")</f>
        <v>Choi, Hee-Sun</v>
      </c>
      <c r="P238" t="str">
        <v>Ecology</v>
      </c>
      <c r="Q238" t="str">
        <v>Sustainable Development</v>
      </c>
      <c r="R238" t="str">
        <f>IFERROR(VLOOKUP($I238,[1]DB2!$F$2:$I$58,2,0),"옛날 부서명 확인")</f>
        <v>Spatial Planning and Management Division</v>
      </c>
      <c r="S238" t="str">
        <f>IFERROR(VLOOKUP($I238,[1]DB2!$F$2:$I$58,4,0),"옛날 부서명 확인")</f>
        <v xml:space="preserve">Land and Environment Research Group </v>
      </c>
    </row>
    <row r="239">
      <c r="B239" t="str">
        <v>수탁과제</v>
      </c>
      <c r="C239" t="str">
        <v>2025-120</v>
      </c>
      <c r="D239" t="str">
        <v>자연보전 지속성을 고려한 대체서식지 조성관리 고도화 연구</v>
      </c>
      <c r="F239" t="str">
        <v>10304</v>
      </c>
      <c r="G239" t="str">
        <v>이후승</v>
      </c>
      <c r="H239" t="str">
        <v>202508192</v>
      </c>
      <c r="I239" t="str">
        <v>자연환경연구실</v>
      </c>
      <c r="J239">
        <v>39600000</v>
      </c>
      <c r="K239" s="1" t="d">
        <v>2025-12-10T23:59:08.000Z</v>
      </c>
      <c r="L239" s="1" t="d">
        <v>2026-06-05T23:59:08.000Z</v>
      </c>
      <c r="M239" t="str">
        <v>기후에너지환경부 환경영향평가과</v>
      </c>
      <c r="N239" t="str">
        <v>Enhancing Alternative Habitat Creation and Management Strategies for Sustainable Nature Conservation</v>
      </c>
      <c r="O239" t="str">
        <f>IFERROR(VLOOKUP($G239,[1]DB2!$A:$B,2,0),"공동과책 확인")</f>
        <v>Lee, Who-Seung</v>
      </c>
      <c r="P239" t="str">
        <v>Ecology</v>
      </c>
      <c r="Q239" t="str">
        <v>Environmental Assessment</v>
      </c>
      <c r="R239" t="str">
        <f>IFERROR(VLOOKUP($I239,[1]DB2!$F$2:$I$58,2,0),"옛날 부서명 확인")</f>
        <v xml:space="preserve">Natural Environment Division </v>
      </c>
      <c r="S239" t="str">
        <f>IFERROR(VLOOKUP($I239,[1]DB2!$F$2:$I$58,4,0),"옛날 부서명 확인")</f>
        <v xml:space="preserve">Land and Environment Research Group </v>
      </c>
    </row>
    <row r="240">
      <c r="B240" t="str">
        <v>수탁과제</v>
      </c>
      <c r="C240" t="str">
        <v>2025-121</v>
      </c>
      <c r="D240" t="str">
        <v>아프리카돼지열병(ASF) 차단 1·2차 울타리 관리방안 연구</v>
      </c>
      <c r="F240" t="str">
        <v>10300</v>
      </c>
      <c r="G240" t="str">
        <v>구경아</v>
      </c>
      <c r="H240" t="str">
        <v>202508192</v>
      </c>
      <c r="I240" t="str">
        <v>자연환경연구실</v>
      </c>
      <c r="J240">
        <v>68600000</v>
      </c>
      <c r="K240" s="1" t="d">
        <v>2025-12-25T23:59:08.000Z</v>
      </c>
      <c r="L240" s="1" t="d">
        <v>2026-01-15T23:59:08.000Z</v>
      </c>
      <c r="M240" t="str">
        <v>기후에너지환경부 자연생태정책과</v>
      </c>
      <c r="N240" t="str">
        <v>Management Strategies for Primary and Secondary African Swine Fever (ASF) Control Fences</v>
      </c>
      <c r="O240" t="str">
        <f>IFERROR(VLOOKUP($G240,[1]DB2!$A:$B,2,0),"공동과책 확인")</f>
        <v xml:space="preserve">Koo, Kyung Ah </v>
      </c>
      <c r="P240" t="str">
        <v>Environmental Health</v>
      </c>
      <c r="Q240" t="str">
        <v>Ecology</v>
      </c>
      <c r="R240" t="str">
        <f>IFERROR(VLOOKUP($I240,[1]DB2!$F$2:$I$58,2,0),"옛날 부서명 확인")</f>
        <v xml:space="preserve">Natural Environment Division </v>
      </c>
      <c r="S240" t="str">
        <f>IFERROR(VLOOKUP($I240,[1]DB2!$F$2:$I$58,4,0),"옛날 부서명 확인")</f>
        <v xml:space="preserve">Land and Environment Research Group </v>
      </c>
    </row>
    <row r="241">
      <c r="B241" t="str">
        <v>수탁과제</v>
      </c>
      <c r="C241" t="str">
        <v>2024-082</v>
      </c>
      <c r="D241" t="str">
        <v>한국형 탄소중립도시 지정 및 제도 마련 연구</v>
      </c>
      <c r="F241" t="str">
        <v>10132</v>
      </c>
      <c r="G241" t="str">
        <v>박창석</v>
      </c>
      <c r="H241" t="str">
        <v>201902191</v>
      </c>
      <c r="I241" t="str">
        <v>임원실</v>
      </c>
      <c r="J241">
        <v>79025000</v>
      </c>
      <c r="K241" s="1" t="d">
        <v>2024-07-14T23:59:08.000Z</v>
      </c>
      <c r="L241" s="1" t="d">
        <v>2025-03-30T23:59:08.000Z</v>
      </c>
      <c r="N241" t="str">
        <v>Study on the Designation and Institutional Development for K-Carbon Neutral Cities</v>
      </c>
      <c r="O241" t="str">
        <f>IFERROR(VLOOKUP($G241,[1]DB2!$A:$B,2,0),"공동과책 확인")</f>
        <v>Park, Chang Sug</v>
      </c>
      <c r="P241" t="str">
        <v>Carbon Neutrality and Energy</v>
      </c>
      <c r="Q241" t="str">
        <v>Land and Urban Environment</v>
      </c>
      <c r="R241" t="str">
        <f>IFERROR(VLOOKUP($I241,[1]DB2!$F$2:$I$58,2,0),"옛날 부서명 확인")</f>
        <v>Executive Office</v>
      </c>
      <c r="S241" t="str">
        <f>IFERROR(VLOOKUP($I241,[1]DB2!$F$2:$I$58,4,0),"옛날 부서명 확인")</f>
        <v>Executive Office</v>
      </c>
    </row>
    <row r="242">
      <c r="B242" t="str">
        <v>일반사업</v>
      </c>
      <c r="C242" t="str">
        <v>GP2025-01</v>
      </c>
      <c r="D242" t="str">
        <v>지구환경정보센터 운영</v>
      </c>
      <c r="F242" t="str">
        <v>10217</v>
      </c>
      <c r="G242" t="str">
        <v>박준현</v>
      </c>
      <c r="H242" t="str">
        <v>202508198</v>
      </c>
      <c r="I242" t="str">
        <v>글로벌협력팀</v>
      </c>
      <c r="J242">
        <v>41455000</v>
      </c>
      <c r="K242" s="1" t="d">
        <v>2024-12-31T23:59:08.000Z</v>
      </c>
      <c r="L242" s="1" t="d">
        <v>2025-12-30T23:59:08.000Z</v>
      </c>
      <c r="N242" t="str">
        <v>Management of the Global Environmental Information Center</v>
      </c>
      <c r="O242" t="str">
        <f>IFERROR(VLOOKUP($G242,[1]DB2!$A:$B,2,0),"공동과책 확인")</f>
        <v>Park, Jun Hyun</v>
      </c>
      <c r="P242" t="str">
        <v>International Environmental Collaboration</v>
      </c>
      <c r="R242" t="str">
        <f>IFERROR(VLOOKUP($I242,[1]DB2!$F$2:$I$58,2,0),"옛날 부서명 확인")</f>
        <v>Global Cooperation Team</v>
      </c>
      <c r="S242" t="str">
        <f>IFERROR(VLOOKUP($I242,[1]DB2!$F$2:$I$58,4,0),"옛날 부서명 확인")</f>
        <v xml:space="preserve">Department of Planning and Strategy </v>
      </c>
    </row>
    <row r="243">
      <c r="B243" t="str">
        <v>일반사업</v>
      </c>
      <c r="C243" t="str">
        <v>GP2025-02</v>
      </c>
      <c r="D243" t="str">
        <v>국토환경정보시스템 운영 관리</v>
      </c>
      <c r="F243" t="str">
        <v>10084</v>
      </c>
      <c r="G243" t="str">
        <v>윤정호</v>
      </c>
      <c r="H243" t="str">
        <v>202508205</v>
      </c>
      <c r="I243" t="str">
        <v>국토관리연구실</v>
      </c>
      <c r="J243">
        <v>97075000</v>
      </c>
      <c r="K243" s="1" t="d">
        <v>2024-12-31T23:59:08.000Z</v>
      </c>
      <c r="L243" s="1" t="d">
        <v>2025-12-30T23:59:08.000Z</v>
      </c>
      <c r="N243" t="str">
        <v>Management of the National Land Environmental Information Network System</v>
      </c>
      <c r="O243" t="str">
        <f>IFERROR(VLOOKUP($G243,[1]DB2!$A:$B,2,0),"공동과책 확인")</f>
        <v>Yoon, Jeongho</v>
      </c>
      <c r="P243" t="str">
        <v>Land and Urban Environment</v>
      </c>
      <c r="Q243" t="str">
        <v>AI and Environmental Informatics</v>
      </c>
      <c r="R243" t="str">
        <f>IFERROR(VLOOKUP($I243,[1]DB2!$F$2:$I$58,2,0),"옛날 부서명 확인")</f>
        <v>Spatial Planning and Management Division</v>
      </c>
      <c r="S243" t="str">
        <f>IFERROR(VLOOKUP($I243,[1]DB2!$F$2:$I$58,4,0),"옛날 부서명 확인")</f>
        <v xml:space="preserve">Land and Environment Research Group </v>
      </c>
    </row>
    <row r="244">
      <c r="B244" t="str">
        <v>일반사업</v>
      </c>
      <c r="C244" t="str">
        <v>GP2025-03</v>
      </c>
      <c r="D244" t="str">
        <v>환경정책교육원 운영</v>
      </c>
      <c r="F244" t="str">
        <v>10155</v>
      </c>
      <c r="G244" t="str">
        <v>조공장</v>
      </c>
      <c r="H244" t="str">
        <v>202508189</v>
      </c>
      <c r="I244" t="str">
        <v>생활환경사회연구실</v>
      </c>
      <c r="J244">
        <v>281823000</v>
      </c>
      <c r="K244" s="1" t="d">
        <v>2024-12-31T23:59:08.000Z</v>
      </c>
      <c r="L244" s="1" t="d">
        <v>2025-12-30T23:59:08.000Z</v>
      </c>
      <c r="N244" t="str">
        <v>Management of the KEI E-Learning Center</v>
      </c>
      <c r="O244" t="str">
        <f>IFERROR(VLOOKUP($G244,[1]DB2!$A:$B,2,0),"공동과책 확인")</f>
        <v>Cho, Kongjang</v>
      </c>
      <c r="P244" t="str">
        <v>Socio-Environmental Interface</v>
      </c>
      <c r="Q244" t="str">
        <v>AI and Environmental Informatics</v>
      </c>
      <c r="R244" t="str">
        <f>IFERROR(VLOOKUP($I244,[1]DB2!$F$2:$I$58,2,0),"옛날 부서명 확인")</f>
        <v xml:space="preserve">Living Environment and Society Division </v>
      </c>
      <c r="S244" t="str">
        <f>IFERROR(VLOOKUP($I244,[1]DB2!$F$2:$I$58,4,0),"옛날 부서명 확인")</f>
        <v xml:space="preserve">Sustainable Development Research Group  </v>
      </c>
    </row>
    <row r="245">
      <c r="B245" t="str">
        <v>일반사업</v>
      </c>
      <c r="C245" t="str">
        <v>GP2025-04</v>
      </c>
      <c r="D245" t="str">
        <v>국가 리스크 관리를 위한 기후변화 적응역량 구축·평가</v>
      </c>
      <c r="F245" t="str">
        <v>10210</v>
      </c>
      <c r="G245" t="str">
        <v>정휘철</v>
      </c>
      <c r="H245" t="str">
        <v>202508168</v>
      </c>
      <c r="I245" t="str">
        <v>국가기후위기적응센터</v>
      </c>
      <c r="J245">
        <v>93231000</v>
      </c>
      <c r="K245" s="1" t="d">
        <v>2024-12-31T23:59:08.000Z</v>
      </c>
      <c r="L245" s="1" t="d">
        <v>2025-12-30T23:59:08.000Z</v>
      </c>
      <c r="N245" t="str">
        <v>Building and Assessing Adaptive Capacity to Climate Change for the National Risk Management</v>
      </c>
      <c r="O245" t="str">
        <f>IFERROR(VLOOKUP($G245,[1]DB2!$A:$B,2,0),"공동과책 확인")</f>
        <v>Jung, Huicheul</v>
      </c>
      <c r="P245" t="str">
        <v>Climate Adaptation</v>
      </c>
      <c r="R245" t="str">
        <f>IFERROR(VLOOKUP($I245,[1]DB2!$F$2:$I$58,2,0),"옛날 부서명 확인")</f>
        <v xml:space="preserve">Korea Adaptation Center for Climate Change </v>
      </c>
      <c r="S245" t="str">
        <f>IFERROR(VLOOKUP($I245,[1]DB2!$F$2:$I$58,4,0),"옛날 부서명 확인")</f>
        <v xml:space="preserve">Korea Adaptation Center for Climate Change </v>
      </c>
    </row>
    <row r="246">
      <c r="B246" t="str">
        <v>일반사업</v>
      </c>
      <c r="C246" t="str">
        <v>GP2025-05</v>
      </c>
      <c r="D246" t="str">
        <v>환경평가 모니터링 사업</v>
      </c>
      <c r="F246" t="str">
        <v>10152</v>
      </c>
      <c r="G246" t="str">
        <v>이상범</v>
      </c>
      <c r="H246" t="str">
        <v>202508102</v>
      </c>
      <c r="I246" t="str">
        <v>환경평가본부</v>
      </c>
      <c r="J246">
        <v>305880000</v>
      </c>
      <c r="K246" s="1" t="d">
        <v>2024-12-31T23:59:08.000Z</v>
      </c>
      <c r="L246" s="1" t="d">
        <v>2025-12-30T23:59:08.000Z</v>
      </c>
      <c r="N246" t="str">
        <v>Environmental Assessment Monitoring Project</v>
      </c>
      <c r="O246" t="str">
        <f>IFERROR(VLOOKUP($G246,[1]DB2!$A:$B,2,0),"공동과책 확인")</f>
        <v>Lee, Sangbum</v>
      </c>
      <c r="P246" t="str">
        <v>Environmental Assessment</v>
      </c>
      <c r="R246" t="str">
        <f>IFERROR(VLOOKUP($I246,[1]DB2!$F$2:$I$58,2,0),"옛날 부서명 확인")</f>
        <v xml:space="preserve">Environmental Assessment Group </v>
      </c>
      <c r="S246" t="str">
        <f>IFERROR(VLOOKUP($I246,[1]DB2!$F$2:$I$58,4,0),"옛날 부서명 확인")</f>
        <v xml:space="preserve">Environmental Assessment Group </v>
      </c>
    </row>
    <row r="247">
      <c r="B247" t="str">
        <v>일반사업</v>
      </c>
      <c r="C247" t="str">
        <v>GP2025-06</v>
      </c>
      <c r="D247" t="str">
        <v>기후변화영향평가 검토 및 기법 연구</v>
      </c>
      <c r="F247" t="str">
        <v>10152</v>
      </c>
      <c r="G247" t="str">
        <v>이상범</v>
      </c>
      <c r="H247" t="str">
        <v>202508102</v>
      </c>
      <c r="I247" t="str">
        <v>환경평가본부</v>
      </c>
      <c r="J247">
        <v>313728000</v>
      </c>
      <c r="K247" s="1" t="d">
        <v>2024-12-31T23:59:08.000Z</v>
      </c>
      <c r="L247" s="1" t="d">
        <v>2025-12-30T23:59:08.000Z</v>
      </c>
      <c r="N247" t="str">
        <v>Review and Methodological Study of Climate Change Impact Assessment</v>
      </c>
      <c r="O247" t="str">
        <f>IFERROR(VLOOKUP($G247,[1]DB2!$A:$B,2,0),"공동과책 확인")</f>
        <v>Lee, Sangbum</v>
      </c>
      <c r="P247" t="str">
        <v>Environmental Assessment</v>
      </c>
      <c r="Q247" t="str">
        <v>Climate Adaptation</v>
      </c>
      <c r="R247" t="str">
        <f>IFERROR(VLOOKUP($I247,[1]DB2!$F$2:$I$58,2,0),"옛날 부서명 확인")</f>
        <v xml:space="preserve">Environmental Assessment Group </v>
      </c>
      <c r="S247" t="str">
        <f>IFERROR(VLOOKUP($I247,[1]DB2!$F$2:$I$58,4,0),"옛날 부서명 확인")</f>
        <v xml:space="preserve">Environmental Assessment Group </v>
      </c>
    </row>
    <row r="248">
      <c r="B248" t="str">
        <v>일반사업</v>
      </c>
      <c r="C248" t="str">
        <v>GP2025-08</v>
      </c>
      <c r="D248" t="str">
        <v>물-환경-경제 통합분석 기반 물정책전망(Water Policy Outlook) 연구</v>
      </c>
      <c r="F248" t="str">
        <v>10254</v>
      </c>
      <c r="G248" t="str">
        <v>류재나</v>
      </c>
      <c r="H248" t="str">
        <v>202508190</v>
      </c>
      <c r="I248" t="str">
        <v>물관리연구실</v>
      </c>
      <c r="J248">
        <v>329637000</v>
      </c>
      <c r="K248" s="1" t="d">
        <v>2024-12-31T23:59:08.000Z</v>
      </c>
      <c r="L248" s="1" t="d">
        <v>2025-12-30T23:59:08.000Z</v>
      </c>
      <c r="N248" t="str">
        <v>Water Policy Outlook Based on Integrated Analysis of Water, Environment, and Economy</v>
      </c>
      <c r="O248" t="str">
        <f>IFERROR(VLOOKUP($G248,[1]DB2!$A:$B,2,0),"공동과책 확인")</f>
        <v>Ryu, Jaena</v>
      </c>
      <c r="P248" t="str">
        <v>Water Management</v>
      </c>
      <c r="Q248" t="str">
        <v>Environmental Economics</v>
      </c>
      <c r="R248" t="str">
        <f>IFERROR(VLOOKUP($I248,[1]DB2!$F$2:$I$58,2,0),"옛날 부서명 확인")</f>
        <v xml:space="preserve">Water Management Division </v>
      </c>
      <c r="S248" t="str">
        <f>IFERROR(VLOOKUP($I248,[1]DB2!$F$2:$I$58,4,0),"옛날 부서명 확인")</f>
        <v xml:space="preserve">Land and Environment Research Group </v>
      </c>
    </row>
    <row r="249">
      <c r="B249" t="str">
        <v>일반사업</v>
      </c>
      <c r="C249" t="str">
        <v>GP2025-09</v>
      </c>
      <c r="D249" t="str">
        <v>글로벌 환경규제 대응을 위한 플라스틱 순환성 및 전주기 환경성 연구</v>
      </c>
      <c r="F249" t="str">
        <v>10273</v>
      </c>
      <c r="G249" t="str">
        <v>이소라</v>
      </c>
      <c r="H249" t="str">
        <v>202508204</v>
      </c>
      <c r="I249" t="str">
        <v>순환경제연구실</v>
      </c>
      <c r="J249">
        <v>280000000</v>
      </c>
      <c r="K249" s="1" t="d">
        <v>2024-12-31T23:59:08.000Z</v>
      </c>
      <c r="L249" s="1" t="d">
        <v>2025-12-30T23:59:08.000Z</v>
      </c>
      <c r="N249" t="str">
        <v>Research on the Circularity and Lifecycle Environmental Impacts of Plastics in Response to Global Environmental Regulations</v>
      </c>
      <c r="O249" t="str">
        <f>IFERROR(VLOOKUP($G249,[1]DB2!$A:$B,2,0),"공동과책 확인")</f>
        <v xml:space="preserve">Yi, Sora </v>
      </c>
      <c r="P249" t="str">
        <v>Circular Economy</v>
      </c>
      <c r="R249" t="str">
        <f>IFERROR(VLOOKUP($I249,[1]DB2!$F$2:$I$58,2,0),"옛날 부서명 확인")</f>
        <v xml:space="preserve">Circular Economy Division </v>
      </c>
      <c r="S249" t="str">
        <f>IFERROR(VLOOKUP($I249,[1]DB2!$F$2:$I$58,4,0),"옛날 부서명 확인")</f>
        <v xml:space="preserve">Sustainable Development Research Group  </v>
      </c>
    </row>
    <row r="250">
      <c r="B250" t="str">
        <v>일반사업</v>
      </c>
      <c r="C250" t="str">
        <v>GP2025-10</v>
      </c>
      <c r="D250" t="str">
        <v>생태계 계정 구축 및 생물다양성 주류화 정책 개발</v>
      </c>
      <c r="F250" t="str">
        <v>10304</v>
      </c>
      <c r="G250" t="str">
        <v>이후승</v>
      </c>
      <c r="H250" t="str">
        <v>202508192</v>
      </c>
      <c r="I250" t="str">
        <v>자연환경연구실</v>
      </c>
      <c r="J250">
        <v>250000000</v>
      </c>
      <c r="K250" s="1" t="d">
        <v>2024-12-31T23:59:08.000Z</v>
      </c>
      <c r="L250" s="1" t="d">
        <v>2025-12-30T23:59:08.000Z</v>
      </c>
      <c r="N250" t="str">
        <v>Development of Ecosystem Accounting and Biodiversity Mainstreaming Policies</v>
      </c>
      <c r="O250" t="str">
        <f>IFERROR(VLOOKUP($G250,[1]DB2!$A:$B,2,0),"공동과책 확인")</f>
        <v>Lee, Who-Seung</v>
      </c>
      <c r="P250" t="str">
        <v>Ecology</v>
      </c>
      <c r="Q250" t="str">
        <v>Sustainable Development</v>
      </c>
      <c r="R250" t="str">
        <f>IFERROR(VLOOKUP($I250,[1]DB2!$F$2:$I$58,2,0),"옛날 부서명 확인")</f>
        <v xml:space="preserve">Natural Environment Division </v>
      </c>
      <c r="S250" t="str">
        <f>IFERROR(VLOOKUP($I250,[1]DB2!$F$2:$I$58,4,0),"옛날 부서명 확인")</f>
        <v xml:space="preserve">Land and Environment Research Group </v>
      </c>
    </row>
    <row r="251">
      <c r="B251" t="str">
        <v>일반사업</v>
      </c>
      <c r="C251" t="str">
        <v>GP2025-11</v>
      </c>
      <c r="D251" t="str">
        <v>환경평가 효율화를 위한 통합진단시스템 구축</v>
      </c>
      <c r="F251" t="str">
        <v>10337</v>
      </c>
      <c r="G251" t="str">
        <v>박태호</v>
      </c>
      <c r="H251" t="str">
        <v>202508206</v>
      </c>
      <c r="I251" t="str">
        <v>사회기반평가실</v>
      </c>
      <c r="J251">
        <v>200000000</v>
      </c>
      <c r="K251" s="1" t="d">
        <v>2024-12-31T23:59:08.000Z</v>
      </c>
      <c r="L251" s="1" t="d">
        <v>2025-12-30T23:59:08.000Z</v>
      </c>
      <c r="N251" t="str">
        <v>Development of an Integrated Diagnostic System for Enhancing the Effectiveness of Environmental Assessment</v>
      </c>
      <c r="O251" t="str">
        <f>IFERROR(VLOOKUP($G251,[1]DB2!$A:$B,2,0),"공동과책 확인")</f>
        <v>Park, Taeho</v>
      </c>
      <c r="P251" t="str">
        <v>Environmental Assessment</v>
      </c>
      <c r="Q251" t="str">
        <v>AI and Environmental Informatics</v>
      </c>
      <c r="R251" t="str">
        <f>IFERROR(VLOOKUP($I251,[1]DB2!$F$2:$I$58,2,0),"옛날 부서명 확인")</f>
        <v xml:space="preserve">Social Infrastructure Assessment Division </v>
      </c>
      <c r="S251" t="str">
        <f>IFERROR(VLOOKUP($I251,[1]DB2!$F$2:$I$58,4,0),"옛날 부서명 확인")</f>
        <v xml:space="preserve">Environmental Assessment Group </v>
      </c>
    </row>
    <row r="252">
      <c r="B252" t="str">
        <v>일반사업</v>
      </c>
      <c r="C252" t="str">
        <v>GP2025-12</v>
      </c>
      <c r="D252" t="str">
        <v>녹색경제협동연구</v>
      </c>
      <c r="F252" t="str">
        <v>10236</v>
      </c>
      <c r="G252" t="str">
        <v>서양원</v>
      </c>
      <c r="H252" t="str">
        <v>202508178</v>
      </c>
      <c r="I252" t="str">
        <v>지속가능발전연구본부</v>
      </c>
      <c r="J252">
        <v>198956000</v>
      </c>
      <c r="K252" s="1" t="d">
        <v>2024-12-31T23:59:08.000Z</v>
      </c>
      <c r="L252" s="1" t="d">
        <v>2025-12-30T23:59:08.000Z</v>
      </c>
      <c r="N252" t="str">
        <v>Collaborative Research on the Green Economy</v>
      </c>
      <c r="O252" t="str">
        <f>IFERROR(VLOOKUP($G252,[1]DB2!$A:$B,2,0),"공동과책 확인")</f>
        <v>Suh, Yang-won</v>
      </c>
      <c r="P252" t="str">
        <v>Environmental Economics</v>
      </c>
      <c r="Q252" t="str">
        <v>Sustainable Development</v>
      </c>
      <c r="R252" t="str">
        <f>IFERROR(VLOOKUP($I252,[1]DB2!$F$2:$I$58,2,0),"옛날 부서명 확인")</f>
        <v xml:space="preserve">Sustainable Development Research Group  </v>
      </c>
      <c r="S252" t="str">
        <f>IFERROR(VLOOKUP($I252,[1]DB2!$F$2:$I$58,4,0),"옛날 부서명 확인")</f>
        <v xml:space="preserve">Sustainable Development Research Group  </v>
      </c>
    </row>
    <row r="253">
      <c r="B253" t="str">
        <v>기본과제</v>
      </c>
      <c r="C253" t="str">
        <v>RE2025-15</v>
      </c>
      <c r="D253" t="str">
        <v>환경영향평가서 검토</v>
      </c>
      <c r="F253" t="str">
        <v>10152</v>
      </c>
      <c r="G253" t="str">
        <v>이상범</v>
      </c>
      <c r="H253" t="str">
        <v>202508102</v>
      </c>
      <c r="I253" t="str">
        <v>환경평가본부</v>
      </c>
      <c r="J253">
        <v>80016000</v>
      </c>
      <c r="K253" s="1" t="d">
        <v>2024-12-31T23:59:08.000Z</v>
      </c>
      <c r="L253" s="1" t="d">
        <v>2025-12-30T23:59:08.000Z</v>
      </c>
      <c r="N253" t="str">
        <v>Environmental Impact Assessment Review</v>
      </c>
      <c r="O253" t="str">
        <f>IFERROR(VLOOKUP($G253,[1]DB2!$A:$B,2,0),"공동과책 확인")</f>
        <v>Lee, Sangbum</v>
      </c>
      <c r="P253" t="str">
        <v>Environmental Assessment</v>
      </c>
      <c r="R253" t="str">
        <f>IFERROR(VLOOKUP($I253,[1]DB2!$F$2:$I$58,2,0),"옛날 부서명 확인")</f>
        <v xml:space="preserve">Environmental Assessment Group </v>
      </c>
      <c r="S253" t="str">
        <f>IFERROR(VLOOKUP($I253,[1]DB2!$F$2:$I$58,4,0),"옛날 부서명 확인")</f>
        <v xml:space="preserve">Environmental Assessment Group </v>
      </c>
    </row>
    <row r="254">
      <c r="B254" t="str">
        <v>기본과제</v>
      </c>
      <c r="C254" t="str">
        <v>RE2025-16</v>
      </c>
      <c r="D254" t="str">
        <v>전략환경영향평가 검토</v>
      </c>
      <c r="F254" t="str">
        <v>10152</v>
      </c>
      <c r="G254" t="str">
        <v>이상범</v>
      </c>
      <c r="H254" t="str">
        <v>202508102</v>
      </c>
      <c r="I254" t="str">
        <v>환경평가본부</v>
      </c>
      <c r="J254">
        <v>284629000</v>
      </c>
      <c r="K254" s="1" t="d">
        <v>2024-12-31T23:59:08.000Z</v>
      </c>
      <c r="L254" s="1" t="d">
        <v>2025-12-30T23:59:08.000Z</v>
      </c>
      <c r="N254" t="str">
        <v>Strategic Environmental Assessment Review</v>
      </c>
      <c r="O254" t="str">
        <f>IFERROR(VLOOKUP($G254,[1]DB2!$A:$B,2,0),"공동과책 확인")</f>
        <v>Lee, Sangbum</v>
      </c>
      <c r="P254" t="str">
        <v>Environmental Assessment</v>
      </c>
      <c r="R254" t="str">
        <f>IFERROR(VLOOKUP($I254,[1]DB2!$F$2:$I$58,2,0),"옛날 부서명 확인")</f>
        <v xml:space="preserve">Environmental Assessment Group </v>
      </c>
      <c r="S254" t="str">
        <f>IFERROR(VLOOKUP($I254,[1]DB2!$F$2:$I$58,4,0),"옛날 부서명 확인")</f>
        <v xml:space="preserve">Environmental Assessment Group </v>
      </c>
    </row>
    <row r="255">
      <c r="B255" t="str">
        <v>수탁과제</v>
      </c>
      <c r="C255" t="str">
        <v>2025-001</v>
      </c>
      <c r="D255" t="str">
        <v>2025년 기후위기적응 민간대행사업</v>
      </c>
      <c r="F255" t="str">
        <v>10210</v>
      </c>
      <c r="G255" t="str">
        <v>정휘철</v>
      </c>
      <c r="H255" t="str">
        <v>202508168</v>
      </c>
      <c r="I255" t="str">
        <v>국가기후위기적응센터</v>
      </c>
      <c r="J255">
        <v>3095000000</v>
      </c>
      <c r="K255" s="1" t="d">
        <v>2024-12-31T23:59:08.000Z</v>
      </c>
      <c r="L255" s="1" t="d">
        <v>2025-12-30T23:59:08.000Z</v>
      </c>
      <c r="M255" t="str">
        <v>환경부 기후적응과</v>
      </c>
      <c r="N255" t="str">
        <v>2025 Climate Change Adaptation Project</v>
      </c>
      <c r="O255" t="str">
        <f>IFERROR(VLOOKUP($G255,[1]DB2!$A:$B,2,0),"공동과책 확인")</f>
        <v>Jung, Huicheul</v>
      </c>
      <c r="P255" t="str">
        <v>Climate Adaptation</v>
      </c>
      <c r="R255" t="str">
        <f>IFERROR(VLOOKUP($I255,[1]DB2!$F$2:$I$58,2,0),"옛날 부서명 확인")</f>
        <v xml:space="preserve">Korea Adaptation Center for Climate Change </v>
      </c>
      <c r="S255" t="str">
        <f>IFERROR(VLOOKUP($I255,[1]DB2!$F$2:$I$58,4,0),"옛날 부서명 확인")</f>
        <v xml:space="preserve">Korea Adaptation Center for Climate Change </v>
      </c>
    </row>
    <row r="256">
      <c r="B256" t="str">
        <v>기초과제</v>
      </c>
      <c r="C256" t="str">
        <v>BA2024-020-07</v>
      </c>
      <c r="D256" t="str">
        <v>(모과제)순환경제 이행 평가 국제동향 분석</v>
      </c>
      <c r="F256" t="str">
        <v>10159</v>
      </c>
      <c r="G256" t="str">
        <v>임혜숙</v>
      </c>
      <c r="H256" t="str">
        <v>201902118</v>
      </c>
      <c r="I256" t="str">
        <v>자원순환연구실</v>
      </c>
      <c r="J256">
        <v>3000000</v>
      </c>
      <c r="K256" s="1" t="d">
        <v>2024-09-01T23:59:08.000Z</v>
      </c>
      <c r="L256" s="1" t="d">
        <v>2025-02-27T23:59:08.000Z</v>
      </c>
      <c r="N256" t="str">
        <v>International Trend Analysis of Circular Economy Implementation Assessment</v>
      </c>
      <c r="O256" t="str">
        <f>IFERROR(VLOOKUP($G256,[1]DB2!$A:$B,2,0),"공동과책 확인")</f>
        <v>Lim, Hyesook</v>
      </c>
      <c r="P256" t="str">
        <v>Circular Economy</v>
      </c>
      <c r="R256" t="str">
        <v xml:space="preserve">Circular Economy Division </v>
      </c>
      <c r="S256" t="str">
        <v xml:space="preserve">Sustainable Development Research Group  </v>
      </c>
    </row>
    <row r="257">
      <c r="B257" t="str">
        <v>기초과제</v>
      </c>
      <c r="C257" t="str">
        <v>BA2024-020-08</v>
      </c>
      <c r="D257" t="str">
        <v>(모과제)섬의 보전과 지속가능한 개발에 관한 국제 정책동향</v>
      </c>
      <c r="F257" t="str">
        <v>10352</v>
      </c>
      <c r="G257" t="str">
        <v>허남주</v>
      </c>
      <c r="H257" t="str">
        <v>201902163</v>
      </c>
      <c r="I257" t="str">
        <v>국토정책평가실</v>
      </c>
      <c r="J257">
        <v>3000000</v>
      </c>
      <c r="K257" s="1" t="d">
        <v>2024-09-01T23:59:08.000Z</v>
      </c>
      <c r="L257" s="1" t="d">
        <v>2025-02-27T23:59:08.000Z</v>
      </c>
      <c r="N257" t="str">
        <v>Global Policy Trends in Conservation and Sustainable Development of Islands</v>
      </c>
      <c r="O257" t="str">
        <f>IFERROR(VLOOKUP($G257,[1]DB2!$A:$B,2,0),"공동과책 확인")</f>
        <v xml:space="preserve">Heo, Namjoo </v>
      </c>
      <c r="P257" t="str">
        <v>Land and Urban Environment</v>
      </c>
      <c r="Q257" t="str">
        <v>Sustainable Development</v>
      </c>
      <c r="R257" t="str">
        <v xml:space="preserve">Climate and Energy Assessment Division </v>
      </c>
      <c r="S257" t="str">
        <v xml:space="preserve">Environmental Assessment Group </v>
      </c>
    </row>
    <row r="258">
      <c r="B258" t="str">
        <v>기초과제</v>
      </c>
      <c r="C258" t="str">
        <v>BA2024-030-09</v>
      </c>
      <c r="D258" t="str">
        <v xml:space="preserve">(모과제)제4차 자연환경보전기본계획(2026-2035) 수립 기초 연구 </v>
      </c>
      <c r="F258" t="str">
        <v>10164</v>
      </c>
      <c r="G258" t="str">
        <v>홍현정</v>
      </c>
      <c r="H258" t="str">
        <v>201902192</v>
      </c>
      <c r="I258" t="str">
        <v>자연환경연구실</v>
      </c>
      <c r="J258">
        <v>3000000</v>
      </c>
      <c r="K258" s="1" t="d">
        <v>2024-12-01T23:59:08.000Z</v>
      </c>
      <c r="L258" s="1" t="d">
        <v>2025-03-30T23:59:08.000Z</v>
      </c>
      <c r="N258" t="str">
        <v>Basic Research for the Formulation of the 4th Basic Plan for Conservation of Natural Environment (2026-2035)</v>
      </c>
      <c r="O258" t="str">
        <f>IFERROR(VLOOKUP($G258,[1]DB2!$A:$B,2,0),"공동과책 확인")</f>
        <v>Hong, Hyunjung</v>
      </c>
      <c r="P258" t="str">
        <v>Ecology</v>
      </c>
      <c r="Q258" t="str">
        <v>Land and Urban Environment</v>
      </c>
      <c r="R258" t="str">
        <f>IFERROR(VLOOKUP($I258,[1]DB2!$F$2:$I$58,2,0),"옛날 부서명 확인")</f>
        <v xml:space="preserve">Natural Environment Division </v>
      </c>
      <c r="S258" t="str">
        <f>IFERROR(VLOOKUP($I258,[1]DB2!$F$2:$I$58,4,0),"옛날 부서명 확인")</f>
        <v xml:space="preserve">Land and Environment Research Group </v>
      </c>
    </row>
    <row r="259">
      <c r="B259" t="str">
        <v>기초과제</v>
      </c>
      <c r="C259" t="str">
        <v>BA2024-030-10</v>
      </c>
      <c r="D259" t="str">
        <v>(모과제)인공지능 기술의 환경보건 정책 활용 동향 분석</v>
      </c>
      <c r="F259" t="str">
        <v>10358</v>
      </c>
      <c r="G259" t="str">
        <v>임미영</v>
      </c>
      <c r="H259" t="str">
        <v>201902119</v>
      </c>
      <c r="I259" t="str">
        <v>환경보건연구실</v>
      </c>
      <c r="J259">
        <v>3000000</v>
      </c>
      <c r="K259" s="1" t="d">
        <v>2024-12-01T23:59:08.000Z</v>
      </c>
      <c r="L259" s="1" t="d">
        <v>2025-05-30T23:59:08.000Z</v>
      </c>
      <c r="N259" t="str">
        <v>Analysis of Trends in the Application of Artificial Intelligence Technologies to Environmental Health Policy</v>
      </c>
      <c r="O259" t="str">
        <f>IFERROR(VLOOKUP($G259,[1]DB2!$A:$B,2,0),"공동과책 확인")</f>
        <v xml:space="preserve"> Lim, Miyoung</v>
      </c>
      <c r="P259" t="str">
        <v>AI and Environmental Informatics</v>
      </c>
      <c r="Q259" t="str">
        <v>Environmental Health</v>
      </c>
      <c r="R259" t="str">
        <f>IFERROR(VLOOKUP($I259,[1]DB2!$F$2:$I$58,2,0),"옛날 부서명 확인")</f>
        <v xml:space="preserve">Environmental Health Division </v>
      </c>
      <c r="S259" t="str">
        <f>IFERROR(VLOOKUP($I259,[1]DB2!$F$2:$I$58,4,0),"옛날 부서명 확인")</f>
        <v xml:space="preserve">Sustainable Development Research Group  </v>
      </c>
    </row>
    <row r="260">
      <c r="B260" t="str">
        <v>기초과제</v>
      </c>
      <c r="C260" t="str">
        <v>BA2024-030-11</v>
      </c>
      <c r="D260" t="str">
        <v>(모과제)대기오염물질 간의 인과관계 추정을 위한 인공지능 방법론 활용 현황 분석</v>
      </c>
      <c r="F260" t="str">
        <v>30054</v>
      </c>
      <c r="G260" t="str">
        <v>김도연</v>
      </c>
      <c r="H260" t="str">
        <v>201902196</v>
      </c>
      <c r="I260" t="str">
        <v>환경데이터전략센터</v>
      </c>
      <c r="J260">
        <v>3000000</v>
      </c>
      <c r="K260" s="1" t="d">
        <v>2024-12-01T23:59:08.000Z</v>
      </c>
      <c r="L260" s="1" t="d">
        <v>2025-05-30T23:59:08.000Z</v>
      </c>
      <c r="N260" t="str">
        <v>Analysis of the Utilization of AI Methodologies for Estimating Causal Relationships between Air Pollutants</v>
      </c>
      <c r="O260" t="str">
        <f>IFERROR(VLOOKUP($G260,[1]DB2!$A:$B,2,0),"공동과책 확인")</f>
        <v xml:space="preserve">Kim, Doyeon </v>
      </c>
      <c r="P260" t="str">
        <v>AI and Environmental Informatics</v>
      </c>
      <c r="Q260" t="str">
        <v>Atmospheric Environment</v>
      </c>
      <c r="R260" t="str">
        <v xml:space="preserve">Social Infrastructure Assessment Division </v>
      </c>
      <c r="S260" t="str">
        <v xml:space="preserve">Environmental Assessment Group </v>
      </c>
    </row>
    <row r="261">
      <c r="B261" t="str">
        <v>기초과제</v>
      </c>
      <c r="C261" t="str">
        <v>BA2024-030-12</v>
      </c>
      <c r="D261" t="str">
        <v>(모과제)하천 수생태계 건강성 예측모델 비교분석 연구</v>
      </c>
      <c r="F261" t="str">
        <v>10356</v>
      </c>
      <c r="G261" t="str">
        <v>최미경</v>
      </c>
      <c r="H261" t="str">
        <v>201902190</v>
      </c>
      <c r="I261" t="str">
        <v>통합물관리연구실</v>
      </c>
      <c r="J261">
        <v>3000000</v>
      </c>
      <c r="K261" s="1" t="d">
        <v>2024-12-01T23:59:08.000Z</v>
      </c>
      <c r="L261" s="1" t="d">
        <v>2025-05-30T23:59:08.000Z</v>
      </c>
      <c r="N261" t="str">
        <v>A Comparative Study of Predictive Models for Assessing River Aquatic Ecosystem Health</v>
      </c>
      <c r="O261" t="str">
        <f>IFERROR(VLOOKUP($G261,[1]DB2!$A:$B,2,0),"공동과책 확인")</f>
        <v>Choi, Mikyoung</v>
      </c>
      <c r="P261" t="str">
        <v>Water Management</v>
      </c>
      <c r="Q261" t="str">
        <v>Ecology</v>
      </c>
      <c r="R261" t="str">
        <v xml:space="preserve">Water Management Division </v>
      </c>
      <c r="S261" t="str">
        <v xml:space="preserve">Land and Environment Research Group </v>
      </c>
    </row>
    <row r="262">
      <c r="B262" t="str">
        <v>기초과제</v>
      </c>
      <c r="C262" t="str">
        <v>BA2024-030-13</v>
      </c>
      <c r="D262" t="str">
        <v>(모과제)수생태계의 효과적 관리를 위한 사후환경영향조사 생태-수환경 검토 연계 방안</v>
      </c>
      <c r="F262" t="str">
        <v>10269</v>
      </c>
      <c r="G262" t="str">
        <v>강유진</v>
      </c>
      <c r="H262" t="str">
        <v>201902164</v>
      </c>
      <c r="I262" t="str">
        <v>공공인프라평가실</v>
      </c>
      <c r="J262">
        <v>3000000</v>
      </c>
      <c r="K262" s="1" t="d">
        <v>2024-12-01T23:59:08.000Z</v>
      </c>
      <c r="L262" s="1" t="d">
        <v>2025-05-30T23:59:08.000Z</v>
      </c>
      <c r="N262" t="str">
        <v>Integrated Approach to Linking Ecological and Hydrological Reviews in Follow-up Surveys of Environmental Impacts for Effective Aquatic Ecosystem Management</v>
      </c>
      <c r="P262" t="str">
        <v>Environmental Assessment</v>
      </c>
      <c r="Q262" t="str">
        <v>Ecology</v>
      </c>
      <c r="R262" t="str">
        <v xml:space="preserve">Environmental Assessment Group </v>
      </c>
      <c r="S262" t="str">
        <v xml:space="preserve">Environmental Assessment Group </v>
      </c>
    </row>
    <row r="263">
      <c r="B263" t="str">
        <v>수탁과제</v>
      </c>
      <c r="C263" t="str">
        <v>2026-001</v>
      </c>
      <c r="D263" t="str">
        <v>2026년 기후변화적응 민간대행사업</v>
      </c>
      <c r="F263">
        <v>10210</v>
      </c>
      <c r="G263" t="str">
        <v>정휘철</v>
      </c>
      <c r="H263" t="str">
        <v>202508168</v>
      </c>
      <c r="I263" t="str">
        <v>국가기후위기적응센터</v>
      </c>
      <c r="J263">
        <v>412532000</v>
      </c>
      <c r="K263" s="1" t="d">
        <v>2025-12-31T23:59:08.000Z</v>
      </c>
      <c r="L263" s="1" t="d">
        <v>2026-12-30T23:59:08.000Z</v>
      </c>
      <c r="M263" t="str">
        <v>기후에너지환경부</v>
      </c>
      <c r="N263" t="str">
        <v>2026 Climate Change Adaptation Project</v>
      </c>
      <c r="O263" t="str">
        <f>IFERROR(VLOOKUP($G263,[1]DB2!$A:$B,2,0),"공동과책 확인")</f>
        <v>Jung, Huicheul</v>
      </c>
      <c r="P263" t="str">
        <v>Climate Adaptation</v>
      </c>
      <c r="R263" t="str">
        <f>IFERROR(VLOOKUP($I263,[1]DB2!$F$2:$I$58,2,0),"옛날 부서명 확인")</f>
        <v xml:space="preserve">Korea Adaptation Center for Climate Change </v>
      </c>
      <c r="S263" t="str">
        <f>IFERROR(VLOOKUP($I263,[1]DB2!$F$2:$I$58,4,0),"옛날 부서명 확인")</f>
        <v xml:space="preserve">Korea Adaptation Center for Climate Change </v>
      </c>
    </row>
    <row r="264">
      <c r="B264" t="str">
        <v>수탁과제</v>
      </c>
      <c r="C264" t="str">
        <v>2026-001-01</v>
      </c>
      <c r="D264" t="str">
        <v>국가 적응대책 수립 및 주류화 지원</v>
      </c>
      <c r="F264" t="str">
        <v>10158</v>
      </c>
      <c r="G264" t="str">
        <v>신지영</v>
      </c>
      <c r="H264" t="str">
        <v>202508124</v>
      </c>
      <c r="I264" t="str">
        <v>기후적응정책실</v>
      </c>
      <c r="J264">
        <v>117456000</v>
      </c>
      <c r="K264" s="1" t="d">
        <v>2025-12-31T23:59:08.000Z</v>
      </c>
      <c r="L264" s="1" t="d">
        <v>2026-12-30T23:59:08.000Z</v>
      </c>
      <c r="M264" t="str">
        <v>기후에너지환경부</v>
      </c>
      <c r="N264" t="str">
        <v>National Climate Adaptation Planning and Support for Policy Mainstreaming</v>
      </c>
      <c r="O264" t="str">
        <f>IFERROR(VLOOKUP($G264,[1]DB2!$A:$B,2,0),"공동과책 확인")</f>
        <v>Shin, Jiyoung</v>
      </c>
      <c r="P264" t="str">
        <v>Climate Adaptation</v>
      </c>
      <c r="R264" t="str">
        <f>IFERROR(VLOOKUP($I264,[1]DB2!$F$2:$I$58,2,0),"옛날 부서명 확인")</f>
        <v xml:space="preserve">Climate Adaptation Policy Division </v>
      </c>
      <c r="S264" t="str">
        <f>IFERROR(VLOOKUP($I264,[1]DB2!$F$2:$I$58,4,0),"옛날 부서명 확인")</f>
        <v xml:space="preserve">Korea Adaptation Center for Climate Change </v>
      </c>
    </row>
    <row r="265">
      <c r="B265" t="str">
        <v>수탁과제</v>
      </c>
      <c r="C265" t="str">
        <v>2026-001-02</v>
      </c>
      <c r="D265" t="str">
        <v>지자체 기후 적응 및 취약성 개선</v>
      </c>
      <c r="F265" t="str">
        <v>10166</v>
      </c>
      <c r="G265" t="str">
        <v>조한나</v>
      </c>
      <c r="H265" t="str">
        <v>202508123</v>
      </c>
      <c r="I265" t="str">
        <v>기후적응협력실</v>
      </c>
      <c r="J265">
        <v>137992000</v>
      </c>
      <c r="K265" s="1" t="d">
        <v>2025-12-31T23:59:08.000Z</v>
      </c>
      <c r="L265" s="1" t="d">
        <v>2026-12-30T23:59:08.000Z</v>
      </c>
      <c r="M265" t="str">
        <v>기후에너지환경부</v>
      </c>
      <c r="N265" t="str">
        <v>Enhancing Local Climate Change Adaptation and Vulnerability Mitigation Strategies</v>
      </c>
      <c r="O265" t="str">
        <f>IFERROR(VLOOKUP($G265,[1]DB2!$A:$B,2,0),"공동과책 확인")</f>
        <v>Cho, Hanna</v>
      </c>
      <c r="P265" t="str">
        <v>Climate Adaptation</v>
      </c>
      <c r="R265" t="str">
        <f>IFERROR(VLOOKUP($I265,[1]DB2!$F$2:$I$58,2,0),"옛날 부서명 확인")</f>
        <v xml:space="preserve">Climate Adaptation Cooperation Division </v>
      </c>
      <c r="S265" t="str">
        <f>IFERROR(VLOOKUP($I265,[1]DB2!$F$2:$I$58,4,0),"옛날 부서명 확인")</f>
        <v xml:space="preserve">Korea Adaptation Center for Climate Change </v>
      </c>
    </row>
    <row r="266">
      <c r="B266" t="str">
        <v>수탁과제</v>
      </c>
      <c r="C266" t="str">
        <v>2026-001-03</v>
      </c>
      <c r="D266" t="str">
        <v>적응 주체별 적응 역량 강화</v>
      </c>
      <c r="F266" t="str">
        <v>10166</v>
      </c>
      <c r="G266" t="str">
        <v>조한나</v>
      </c>
      <c r="H266" t="str">
        <v>202508123</v>
      </c>
      <c r="I266" t="str">
        <v>기후적응협력실</v>
      </c>
      <c r="J266">
        <v>127136000</v>
      </c>
      <c r="K266" s="1" t="d">
        <v>2025-12-31T23:59:08.000Z</v>
      </c>
      <c r="L266" s="1" t="d">
        <v>2026-12-30T23:59:08.000Z</v>
      </c>
      <c r="M266" t="str">
        <v>기후에너지환경부</v>
      </c>
      <c r="N266" t="str">
        <v>Enhancing the Adaptation Capacity of Stakeholders</v>
      </c>
      <c r="O266" t="str">
        <f>IFERROR(VLOOKUP($G266,[1]DB2!$A:$B,2,0),"공동과책 확인")</f>
        <v>Cho, Hanna</v>
      </c>
      <c r="P266" t="str">
        <v>Climate Adaptation</v>
      </c>
      <c r="Q266" t="str">
        <v>Socio-Environmental Interface</v>
      </c>
      <c r="R266" t="str">
        <f>IFERROR(VLOOKUP($I266,[1]DB2!$F$2:$I$58,2,0),"옛날 부서명 확인")</f>
        <v xml:space="preserve">Climate Adaptation Cooperation Division </v>
      </c>
      <c r="S266" t="str">
        <f>IFERROR(VLOOKUP($I266,[1]DB2!$F$2:$I$58,4,0),"옛날 부서명 확인")</f>
        <v xml:space="preserve">Korea Adaptation Center for Climate Change </v>
      </c>
    </row>
    <row r="267">
      <c r="B267" t="str">
        <v>수탁과제</v>
      </c>
      <c r="C267" t="str">
        <v>2026-001-04</v>
      </c>
      <c r="D267" t="str">
        <v>총괄 및 적응정책 연구</v>
      </c>
      <c r="F267" t="str">
        <v>10210</v>
      </c>
      <c r="G267" t="str">
        <v>정휘철</v>
      </c>
      <c r="H267" t="str">
        <v>202508168</v>
      </c>
      <c r="I267" t="str">
        <v>국가기후위기적응센터</v>
      </c>
      <c r="J267">
        <v>29948000</v>
      </c>
      <c r="K267" s="1" t="d">
        <v>2025-12-31T23:59:08.000Z</v>
      </c>
      <c r="L267" s="1" t="d">
        <v>2026-12-30T23:59:08.000Z</v>
      </c>
      <c r="M267" t="str">
        <v>기후에너지환경부</v>
      </c>
      <c r="N267" t="str">
        <v>Comprehensive Study and Research on Adaptation Policies</v>
      </c>
      <c r="O267" t="str">
        <f>IFERROR(VLOOKUP($G267,[1]DB2!$A:$B,2,0),"공동과책 확인")</f>
        <v>Jung, Huicheul</v>
      </c>
      <c r="P267" t="str">
        <v>Climate Adaptation</v>
      </c>
      <c r="R267" t="str">
        <f>IFERROR(VLOOKUP($I267,[1]DB2!$F$2:$I$58,2,0),"옛날 부서명 확인")</f>
        <v xml:space="preserve">Korea Adaptation Center for Climate Change </v>
      </c>
      <c r="S267" t="str">
        <f>IFERROR(VLOOKUP($I267,[1]DB2!$F$2:$I$58,4,0),"옛날 부서명 확인")</f>
        <v xml:space="preserve">Korea Adaptation Center for Climate Change </v>
      </c>
    </row>
    <row r="268">
      <c r="B268" t="str">
        <v>수탁과제</v>
      </c>
      <c r="C268" t="str">
        <v>2026-002</v>
      </c>
      <c r="D268" t="str">
        <v>2026년 국토환경성평가지도 구축·운영 사업</v>
      </c>
      <c r="F268" t="str">
        <v>10084</v>
      </c>
      <c r="G268" t="str">
        <v>윤정호</v>
      </c>
      <c r="H268" t="str">
        <v>202508205</v>
      </c>
      <c r="I268" t="str">
        <v>국토관리연구실</v>
      </c>
      <c r="J268">
        <v>95596800</v>
      </c>
      <c r="K268" s="1" t="d">
        <v>2025-12-31T23:59:08.000Z</v>
      </c>
      <c r="L268" s="1" t="d">
        <v>2026-12-30T23:59:08.000Z</v>
      </c>
      <c r="M268" t="str">
        <v>기후에너지환경부</v>
      </c>
      <c r="N268" t="str">
        <v>2026 Development and Management of National Land Environmental Assessment Maps</v>
      </c>
      <c r="O268" t="str">
        <f>IFERROR(VLOOKUP($G268,[1]DB2!$A:$B,2,0),"공동과책 확인")</f>
        <v>Yoon, Jeongho</v>
      </c>
      <c r="P268" t="str">
        <v>Land and Urban Environment</v>
      </c>
      <c r="Q268" t="str">
        <v>Environmental Assessment</v>
      </c>
      <c r="R268" t="str">
        <f>IFERROR(VLOOKUP($I268,[1]DB2!$F$2:$I$58,2,0),"옛날 부서명 확인")</f>
        <v>Spatial Planning and Management Division</v>
      </c>
      <c r="S268" t="str">
        <f>IFERROR(VLOOKUP($I268,[1]DB2!$F$2:$I$58,4,0),"옛날 부서명 확인")</f>
        <v xml:space="preserve">Land and Environment Research Group </v>
      </c>
    </row>
    <row r="269">
      <c r="B269" t="str">
        <v>수탁과제</v>
      </c>
      <c r="C269" t="str">
        <v>2026-003</v>
      </c>
      <c r="D269" t="str">
        <v>KOICA 기후주류화 전략 및 액션플랜 수립을 위한 컨설팅 용역(3차)</v>
      </c>
      <c r="F269" t="str">
        <v>10252</v>
      </c>
      <c r="G269" t="str">
        <v>장훈</v>
      </c>
      <c r="H269" t="str">
        <v>202508030</v>
      </c>
      <c r="I269" t="str">
        <v>임원실</v>
      </c>
      <c r="J269">
        <v>32600000</v>
      </c>
      <c r="K269" s="1" t="d">
        <v>2025-12-31T23:59:08.000Z</v>
      </c>
      <c r="L269" s="1" t="d">
        <v>2026-12-30T23:59:08.000Z</v>
      </c>
      <c r="M269" t="str">
        <v>한국국제협력단</v>
      </c>
      <c r="N269" t="str">
        <v>KOICA Climate Mainstreaming Strategy and Action Plan Development Consulting (Phase 3)</v>
      </c>
      <c r="O269" t="str">
        <f>IFERROR(VLOOKUP($G269,[1]DB2!$A:$B,2,0),"공동과책 확인")</f>
        <v>Chang, Hoon</v>
      </c>
      <c r="P269" t="str">
        <v>Climate Adaptation</v>
      </c>
      <c r="Q269" t="str">
        <v>International Environmental Collaboration</v>
      </c>
      <c r="R269" t="str">
        <f>IFERROR(VLOOKUP($I269,[1]DB2!$F$2:$I$58,2,0),"옛날 부서명 확인")</f>
        <v>Executive Office</v>
      </c>
      <c r="S269" t="str">
        <f>IFERROR(VLOOKUP($I269,[1]DB2!$F$2:$I$58,4,0),"옛날 부서명 확인")</f>
        <v>Executive Office</v>
      </c>
    </row>
    <row r="270">
      <c r="B270" t="str">
        <v>수탁과제</v>
      </c>
      <c r="C270" t="str">
        <v>2026-004(R)</v>
      </c>
      <c r="D270" t="str">
        <v>습지생태계 서비스 및 가치평가 정량화 기술개발(5차년도)</v>
      </c>
      <c r="F270" t="str">
        <v>10292</v>
      </c>
      <c r="G270" t="str">
        <v>김현노</v>
      </c>
      <c r="H270" t="str">
        <v>202508095</v>
      </c>
      <c r="I270" t="str">
        <v>녹색경제연구실</v>
      </c>
      <c r="J270">
        <v>249984000</v>
      </c>
      <c r="K270" s="1" t="d">
        <v>2025-12-31T23:59:08.000Z</v>
      </c>
      <c r="L270" s="1" t="d">
        <v>2026-03-07T23:59:08.000Z</v>
      </c>
      <c r="M270" t="str">
        <v>한국환경산업기술원</v>
      </c>
      <c r="N270" t="str">
        <v>Developing Quantitative Assessment Techniques for Wetland Ecosystem Services and Value (Year 5)</v>
      </c>
      <c r="O270" t="str">
        <f>IFERROR(VLOOKUP($G270,[1]DB2!$A:$B,2,0),"공동과책 확인")</f>
        <v>Kim, Hyunno</v>
      </c>
      <c r="P270" t="str">
        <v>Environmental Economics</v>
      </c>
      <c r="Q270" t="str">
        <v>Ecology</v>
      </c>
      <c r="R270" t="str">
        <f>IFERROR(VLOOKUP($I270,[1]DB2!$F$2:$I$58,2,0),"옛날 부서명 확인")</f>
        <v xml:space="preserve">Green Economy Division </v>
      </c>
      <c r="S270" t="str">
        <f>IFERROR(VLOOKUP($I270,[1]DB2!$F$2:$I$58,4,0),"옛날 부서명 확인")</f>
        <v xml:space="preserve">Climate and Atmospheric Strategy Research Group  </v>
      </c>
    </row>
    <row r="271">
      <c r="B271" t="str">
        <v>수탁과제</v>
      </c>
      <c r="C271" t="str">
        <v>2026-005(R)</v>
      </c>
      <c r="D271" t="str">
        <v>AI 기반 해양수색구조 의사결정지원시스템 개발(5차년도)</v>
      </c>
      <c r="F271" t="str">
        <v>10257</v>
      </c>
      <c r="G271" t="str">
        <v>김충기</v>
      </c>
      <c r="H271" t="str">
        <v>202508192</v>
      </c>
      <c r="I271" t="str">
        <v>자연환경연구실</v>
      </c>
      <c r="J271">
        <v>156300000</v>
      </c>
      <c r="K271" s="1" t="d">
        <v>2025-12-31T23:59:08.000Z</v>
      </c>
      <c r="L271" s="1" t="d">
        <v>2026-12-30T23:59:08.000Z</v>
      </c>
      <c r="M271" t="str">
        <v>해양수산과학기술진흥원</v>
      </c>
      <c r="N271" t="str">
        <v>Development of an AI-Based Decision Support System for Maritime Search and Rescue (Year 5)</v>
      </c>
      <c r="O271" t="str">
        <f>IFERROR(VLOOKUP($G271,[1]DB2!$A:$B,2,0),"공동과책 확인")</f>
        <v>Kim, Choong-ki</v>
      </c>
      <c r="P271" t="str">
        <v>Marine Environment</v>
      </c>
      <c r="Q271" t="str">
        <v>AI and Environmental Informatics</v>
      </c>
      <c r="R271" t="str">
        <f>IFERROR(VLOOKUP($I271,[1]DB2!$F$2:$I$58,2,0),"옛날 부서명 확인")</f>
        <v xml:space="preserve">Natural Environment Division </v>
      </c>
      <c r="S271" t="str">
        <f>IFERROR(VLOOKUP($I271,[1]DB2!$F$2:$I$58,4,0),"옛날 부서명 확인")</f>
        <v xml:space="preserve">Land and Environment Research Group </v>
      </c>
    </row>
    <row r="272">
      <c r="B272" t="str">
        <v>수탁과제</v>
      </c>
      <c r="C272" t="str">
        <v>2026-006(R)</v>
      </c>
      <c r="D272" t="str">
        <v>기후변화 적응을 위한 의사결정형 통합 영향평가 플랫폼 기반 구축 및 활용기술개발(5차년도)</v>
      </c>
      <c r="F272" t="str">
        <v>50026</v>
      </c>
      <c r="G272" t="str">
        <v>송영일</v>
      </c>
      <c r="H272" t="str">
        <v>202508124</v>
      </c>
      <c r="I272" t="str">
        <v>기후적응정책실</v>
      </c>
      <c r="J272">
        <v>174800000</v>
      </c>
      <c r="K272" s="1" t="d">
        <v>2025-12-31T23:59:08.000Z</v>
      </c>
      <c r="L272" s="1" t="d">
        <v>2026-12-30T23:59:08.000Z</v>
      </c>
      <c r="M272" t="str">
        <v>한국환경산업기술원</v>
      </c>
      <c r="N272" t="str">
        <v>Development and Application of an Integrated Impact Assessment Platform for Decision-Making in Climate Change Adaptation (Year 5)</v>
      </c>
      <c r="O272" t="str">
        <f>IFERROR(VLOOKUP($G272,[1]DB2!$A:$B,2,0),"공동과책 확인")</f>
        <v>Song, Youngil</v>
      </c>
      <c r="P272" t="str">
        <v>Climate Adaptation</v>
      </c>
      <c r="Q272" t="str">
        <v>AI and Environmental Informatics</v>
      </c>
      <c r="R272" t="str">
        <f>IFERROR(VLOOKUP($I272,[1]DB2!$F$2:$I$58,2,0),"옛날 부서명 확인")</f>
        <v xml:space="preserve">Climate Adaptation Policy Division </v>
      </c>
      <c r="S272" t="str">
        <f>IFERROR(VLOOKUP($I272,[1]DB2!$F$2:$I$58,4,0),"옛날 부서명 확인")</f>
        <v xml:space="preserve">Korea Adaptation Center for Climate Change </v>
      </c>
    </row>
    <row r="273">
      <c r="B273" t="str">
        <v>수탁과제</v>
      </c>
      <c r="C273" t="str">
        <v>2026-006(R)-01</v>
      </c>
      <c r="D273" t="str">
        <v>의사결정 지원을 위한 적응대책 선정 및 리스크 저감효과 진단 모듈 개발(5차)</v>
      </c>
      <c r="F273" t="str">
        <v>50026</v>
      </c>
      <c r="G273" t="str">
        <v>송영일</v>
      </c>
      <c r="H273" t="str">
        <v>202508124</v>
      </c>
      <c r="I273" t="str">
        <v>기후적응정책실</v>
      </c>
      <c r="J273">
        <v>85000000</v>
      </c>
      <c r="K273" s="1" t="d">
        <v>2025-12-31T23:59:08.000Z</v>
      </c>
      <c r="L273" s="1" t="d">
        <v>2026-12-30T23:59:08.000Z</v>
      </c>
      <c r="M273" t="str">
        <v>한국환경산업기술원</v>
      </c>
      <c r="N273" t="str">
        <v>Developing a Decision-Support Module for Adaptation Strategy Selection and Risk Mitigation Evaluation (Phase 5)</v>
      </c>
      <c r="O273" t="str">
        <f>IFERROR(VLOOKUP($G273,[1]DB2!$A:$B,2,0),"공동과책 확인")</f>
        <v>Song, Youngil</v>
      </c>
      <c r="P273" t="str">
        <v>Climate Adaptation</v>
      </c>
      <c r="Q273" t="str">
        <v>AI and Environmental Informatics</v>
      </c>
      <c r="R273" t="str">
        <f>IFERROR(VLOOKUP($I273,[1]DB2!$F$2:$I$58,2,0),"옛날 부서명 확인")</f>
        <v xml:space="preserve">Climate Adaptation Policy Division </v>
      </c>
      <c r="S273" t="str">
        <f>IFERROR(VLOOKUP($I273,[1]DB2!$F$2:$I$58,4,0),"옛날 부서명 확인")</f>
        <v xml:space="preserve">Korea Adaptation Center for Climate Change </v>
      </c>
    </row>
    <row r="274">
      <c r="B274" t="str">
        <v>수탁과제</v>
      </c>
      <c r="C274" t="str">
        <v>2026-006(R)-02</v>
      </c>
      <c r="D274" t="str">
        <v>지역기반 물관리 기후변화 영향 및 리스크 평가 시스템 개발(5차)</v>
      </c>
      <c r="F274" t="str">
        <v>10193</v>
      </c>
      <c r="G274" t="str">
        <v>안종호</v>
      </c>
      <c r="H274" t="str">
        <v>202508190</v>
      </c>
      <c r="I274" t="str">
        <v>물관리연구실</v>
      </c>
      <c r="J274">
        <v>89800000</v>
      </c>
      <c r="K274" s="1" t="d">
        <v>2025-12-31T23:59:08.000Z</v>
      </c>
      <c r="L274" s="1" t="d">
        <v>2026-12-30T23:59:08.000Z</v>
      </c>
      <c r="M274" t="str">
        <v>한국환경산업기술원</v>
      </c>
      <c r="N274" t="str">
        <v>Developing a Regional Water Management System for Climate Change Impact and Risk Evaluation (Phase 5)</v>
      </c>
      <c r="O274" t="str">
        <f>IFERROR(VLOOKUP($G274,[1]DB2!$A:$B,2,0),"공동과책 확인")</f>
        <v>Ahn, Jongho</v>
      </c>
      <c r="P274" t="str">
        <v>Water Management</v>
      </c>
      <c r="Q274" t="str">
        <v>Climate Adaptation</v>
      </c>
      <c r="R274" t="str">
        <f>IFERROR(VLOOKUP($I274,[1]DB2!$F$2:$I$58,2,0),"옛날 부서명 확인")</f>
        <v xml:space="preserve">Water Management Division </v>
      </c>
      <c r="S274" t="str">
        <f>IFERROR(VLOOKUP($I274,[1]DB2!$F$2:$I$58,4,0),"옛날 부서명 확인")</f>
        <v xml:space="preserve">Land and Environment Research Group </v>
      </c>
    </row>
    <row r="275">
      <c r="B275" t="str">
        <v>수탁과제</v>
      </c>
      <c r="C275" t="str">
        <v>2026-007(R)</v>
      </c>
      <c r="D275" t="str">
        <v>탄소중립 이행을 위한 글로벌 전력부문 모형 개발(5차년도)</v>
      </c>
      <c r="F275" t="str">
        <v>10252</v>
      </c>
      <c r="G275" t="str">
        <v>장훈</v>
      </c>
      <c r="H275" t="str">
        <v>202508030</v>
      </c>
      <c r="I275" t="str">
        <v>임원실</v>
      </c>
      <c r="J275">
        <v>355094048</v>
      </c>
      <c r="K275" s="1" t="d">
        <v>2025-12-31T23:59:08.000Z</v>
      </c>
      <c r="L275" s="1" t="d">
        <v>2026-12-30T23:59:08.000Z</v>
      </c>
      <c r="M275" t="str">
        <v>한국환경산업기술원</v>
      </c>
      <c r="N275" t="str">
        <v>Global Power Sector Modeling for Advancing Carbon Neutrality (Year 5)</v>
      </c>
      <c r="O275" t="str">
        <f>IFERROR(VLOOKUP($G275,[1]DB2!$A:$B,2,0),"공동과책 확인")</f>
        <v>Chang, Hoon</v>
      </c>
      <c r="P275" t="str">
        <v>Carbon Neutrality and Energy</v>
      </c>
      <c r="Q275" t="str">
        <v>International Environmental Collaboration</v>
      </c>
      <c r="R275" t="str">
        <f>IFERROR(VLOOKUP($I275,[1]DB2!$F$2:$I$58,2,0),"옛날 부서명 확인")</f>
        <v>Executive Office</v>
      </c>
      <c r="S275" t="str">
        <f>IFERROR(VLOOKUP($I275,[1]DB2!$F$2:$I$58,4,0),"옛날 부서명 확인")</f>
        <v>Executive Office</v>
      </c>
    </row>
    <row r="276">
      <c r="B276" t="str">
        <v>수탁과제</v>
      </c>
      <c r="C276" t="str">
        <v>2026-008(R)</v>
      </c>
      <c r="D276" t="str">
        <v>도시공간 기후탄력성 확보 기술 평가 및 의사결정지원 시스템 개발(5차년도)</v>
      </c>
      <c r="F276" t="str">
        <v>10210</v>
      </c>
      <c r="G276" t="str">
        <v>정휘철</v>
      </c>
      <c r="H276" t="str">
        <v>202508168</v>
      </c>
      <c r="I276" t="str">
        <v>국가기후위기적응센터</v>
      </c>
      <c r="J276">
        <v>340000000</v>
      </c>
      <c r="K276" s="1" t="d">
        <v>2025-12-31T23:59:08.000Z</v>
      </c>
      <c r="L276" s="1" t="d">
        <v>2026-12-30T23:59:08.000Z</v>
      </c>
      <c r="M276" t="str">
        <v>한국환경산업기술원</v>
      </c>
      <c r="N276" t="str">
        <v>Evaluation of Urban Climate Resilience Technologies and Development of a Decision Support System (Year 5)</v>
      </c>
      <c r="O276" t="str">
        <f>IFERROR(VLOOKUP($G276,[1]DB2!$A:$B,2,0),"공동과책 확인")</f>
        <v>Jung, Huicheul</v>
      </c>
      <c r="P276" t="str">
        <v>Climate Adaptation</v>
      </c>
      <c r="Q276" t="str">
        <v>AI and Environmental Informatics</v>
      </c>
      <c r="R276" t="str">
        <f>IFERROR(VLOOKUP($I276,[1]DB2!$F$2:$I$58,2,0),"옛날 부서명 확인")</f>
        <v xml:space="preserve">Korea Adaptation Center for Climate Change </v>
      </c>
      <c r="S276" t="str">
        <f>IFERROR(VLOOKUP($I276,[1]DB2!$F$2:$I$58,4,0),"옛날 부서명 확인")</f>
        <v xml:space="preserve">Korea Adaptation Center for Climate Change </v>
      </c>
    </row>
    <row r="277">
      <c r="B277" t="str">
        <v>수탁과제</v>
      </c>
      <c r="C277" t="str">
        <v>2026-009(R)</v>
      </c>
      <c r="D277" t="str">
        <v>생활화학제품 함유 혼합물 대상 인체 복합 유해성 평가용 AOP기반 통합시험평가접근법(ITS/IATA) 개발(4차년도)</v>
      </c>
      <c r="F277" t="str">
        <v>10297</v>
      </c>
      <c r="G277" t="str">
        <v>정다운</v>
      </c>
      <c r="H277" t="str">
        <v>202508119</v>
      </c>
      <c r="I277" t="str">
        <v>환경보건연구실</v>
      </c>
      <c r="J277">
        <v>11000000</v>
      </c>
      <c r="K277" s="1" t="d">
        <v>2025-12-31T23:59:08.000Z</v>
      </c>
      <c r="L277" s="1" t="d">
        <v>2026-12-30T23:59:08.000Z</v>
      </c>
      <c r="M277" t="str">
        <v>한국환경산업기술원</v>
      </c>
      <c r="N277" t="str">
        <v>Developing an AOP-Based Integrated Testing and Assessment Approach (ITS/IATA) for Complex Human Toxicity Evaluation of Mixtures in Consumer Chemical Products (Year 4)</v>
      </c>
      <c r="O277" t="str">
        <f>IFERROR(VLOOKUP($G277,[1]DB2!$A:$B,2,0),"공동과책 확인")</f>
        <v xml:space="preserve">Jung, Dawoon </v>
      </c>
      <c r="P277" t="str">
        <v>Environmental Health</v>
      </c>
      <c r="Q277" t="str">
        <v>Sustainable Development</v>
      </c>
      <c r="R277" t="str">
        <f>IFERROR(VLOOKUP($I277,[1]DB2!$F$2:$I$58,2,0),"옛날 부서명 확인")</f>
        <v xml:space="preserve">Environmental Health Division </v>
      </c>
      <c r="S277" t="str">
        <f>IFERROR(VLOOKUP($I277,[1]DB2!$F$2:$I$58,4,0),"옛날 부서명 확인")</f>
        <v xml:space="preserve">Sustainable Development Research Group  </v>
      </c>
    </row>
    <row r="278">
      <c r="B278" t="str">
        <v>수탁과제</v>
      </c>
      <c r="C278" t="str">
        <v>2026-010(R)</v>
      </c>
      <c r="D278" t="str">
        <v>물부족 피해분석 및 물공급의 사회/경제적 가치 평가 기술 개발과 활용방안(4차년도)</v>
      </c>
      <c r="F278" t="str">
        <v>10318</v>
      </c>
      <c r="G278" t="str">
        <v>이문환</v>
      </c>
      <c r="H278" t="str">
        <v>202508190</v>
      </c>
      <c r="I278" t="str">
        <v>물관리연구실</v>
      </c>
      <c r="J278">
        <v>130000000</v>
      </c>
      <c r="K278" s="1" t="d">
        <v>2025-12-31T23:59:08.000Z</v>
      </c>
      <c r="L278" s="1" t="d">
        <v>2026-12-30T23:59:08.000Z</v>
      </c>
      <c r="M278" t="str">
        <v>한국환경산업기술원</v>
      </c>
      <c r="N278" t="str">
        <v>Development and Application of Techniques for Water Scarcity Damage Analysis and Socioeconomic Valuation of Water Supply (Year 4)</v>
      </c>
      <c r="O278" t="str">
        <f>IFERROR(VLOOKUP($G278,[1]DB2!$A:$B,2,0),"공동과책 확인")</f>
        <v>Lee, Moonhwan</v>
      </c>
      <c r="P278" t="str">
        <v>Water Management</v>
      </c>
      <c r="Q278" t="str">
        <v>Environmental Economics</v>
      </c>
      <c r="R278" t="str">
        <f>IFERROR(VLOOKUP($I278,[1]DB2!$F$2:$I$58,2,0),"옛날 부서명 확인")</f>
        <v xml:space="preserve">Water Management Division </v>
      </c>
      <c r="S278" t="str">
        <f>IFERROR(VLOOKUP($I278,[1]DB2!$F$2:$I$58,4,0),"옛날 부서명 확인")</f>
        <v xml:space="preserve">Land and Environment Research Group </v>
      </c>
    </row>
    <row r="279">
      <c r="B279" t="str">
        <v>수탁과제</v>
      </c>
      <c r="C279" t="str">
        <v>2026-011(R)</v>
      </c>
      <c r="D279" t="str">
        <v>습지생태계 기후변화 대응 평가·예측관리 기술 개발(5차년도)</v>
      </c>
      <c r="F279" t="str">
        <v>10185</v>
      </c>
      <c r="G279" t="str">
        <v>명수정</v>
      </c>
      <c r="H279" t="str">
        <v>202508192</v>
      </c>
      <c r="I279" t="str">
        <v>자연환경연구실</v>
      </c>
      <c r="J279">
        <v>125208000</v>
      </c>
      <c r="K279" s="1" t="d">
        <v>2025-12-31T23:59:08.000Z</v>
      </c>
      <c r="L279" s="1" t="d">
        <v>2026-12-30T23:59:08.000Z</v>
      </c>
      <c r="M279" t="str">
        <v>한국환경산업기술원</v>
      </c>
      <c r="N279" t="str">
        <v>Developing Technologies for Assessing and Predicting Wetland Ecosystem Responses to Climate Change (Year 5)</v>
      </c>
      <c r="O279" t="str">
        <f>IFERROR(VLOOKUP($G279,[1]DB2!$A:$B,2,0),"공동과책 확인")</f>
        <v>Myeong, Soojeong</v>
      </c>
      <c r="P279" t="str">
        <v>Ecology</v>
      </c>
      <c r="Q279" t="str">
        <v>Climate Adaptation</v>
      </c>
      <c r="R279" t="str">
        <f>IFERROR(VLOOKUP($I279,[1]DB2!$F$2:$I$58,2,0),"옛날 부서명 확인")</f>
        <v xml:space="preserve">Natural Environment Division </v>
      </c>
      <c r="S279" t="str">
        <f>IFERROR(VLOOKUP($I279,[1]DB2!$F$2:$I$58,4,0),"옛날 부서명 확인")</f>
        <v xml:space="preserve">Land and Environment Research Group </v>
      </c>
    </row>
    <row r="280">
      <c r="B280" t="str">
        <v>수탁과제</v>
      </c>
      <c r="C280" t="str">
        <v>2026-012(R)</v>
      </c>
      <c r="D280" t="str">
        <v>AI 기반 도시침수 피해 위험도 예측 및 평가 실용화 기술 개발(3차년도)</v>
      </c>
      <c r="F280" t="str">
        <v>10318</v>
      </c>
      <c r="G280" t="str">
        <v>이문환</v>
      </c>
      <c r="H280" t="str">
        <v>202508190</v>
      </c>
      <c r="I280" t="str">
        <v>물관리연구실</v>
      </c>
      <c r="J280">
        <v>59000000</v>
      </c>
      <c r="K280" s="1" t="d">
        <v>2025-12-31T23:59:08.000Z</v>
      </c>
      <c r="L280" s="1" t="d">
        <v>2026-12-30T23:59:08.000Z</v>
      </c>
      <c r="M280" t="str">
        <v>한국산업기술기획평가원</v>
      </c>
      <c r="N280" t="str">
        <v>Developing AI-Based Practical Tools for Urban Flood Risk Prediction and Assessment (Year 3)</v>
      </c>
      <c r="O280" t="str">
        <f>IFERROR(VLOOKUP($G280,[1]DB2!$A:$B,2,0),"공동과책 확인")</f>
        <v>Lee, Moonhwan</v>
      </c>
      <c r="P280" t="str">
        <v>Water Management</v>
      </c>
      <c r="Q280" t="str">
        <v>AI and Environmental Informatics</v>
      </c>
      <c r="R280" t="str">
        <f>IFERROR(VLOOKUP($I280,[1]DB2!$F$2:$I$58,2,0),"옛날 부서명 확인")</f>
        <v xml:space="preserve">Water Management Division </v>
      </c>
      <c r="S280" t="str">
        <f>IFERROR(VLOOKUP($I280,[1]DB2!$F$2:$I$58,4,0),"옛날 부서명 확인")</f>
        <v xml:space="preserve">Land and Environment Research Group </v>
      </c>
    </row>
    <row r="281">
      <c r="B281" t="str">
        <v>수탁과제</v>
      </c>
      <c r="C281" t="str">
        <v>2026-013(R)</v>
      </c>
      <c r="D281" t="str">
        <v>생태계서비스를 고려한 탄소흡수원 통합관리 플랫폼 기술개발(4차년도)</v>
      </c>
      <c r="F281" t="str">
        <v>10185</v>
      </c>
      <c r="G281" t="str">
        <v>명수정</v>
      </c>
      <c r="H281" t="str">
        <v>202508192</v>
      </c>
      <c r="I281" t="str">
        <v>자연환경연구실</v>
      </c>
      <c r="J281">
        <v>186200000</v>
      </c>
      <c r="K281" s="1" t="d">
        <v>2025-12-31T23:59:08.000Z</v>
      </c>
      <c r="L281" s="1" t="d">
        <v>2026-12-30T23:59:08.000Z</v>
      </c>
      <c r="M281" t="str">
        <v>한국환경산업기술원</v>
      </c>
      <c r="N281" t="str">
        <v>Developing an Integrated Management Platform for Carbon Sinks Incorporating Ecosystem Services (Year 4)</v>
      </c>
      <c r="O281" t="str">
        <f>IFERROR(VLOOKUP($G281,[1]DB2!$A:$B,2,0),"공동과책 확인")</f>
        <v>Myeong, Soojeong</v>
      </c>
      <c r="P281" t="str">
        <v>Carbon Neutrality and Energy</v>
      </c>
      <c r="Q281" t="str">
        <v>Ecology</v>
      </c>
      <c r="R281" t="str">
        <f>IFERROR(VLOOKUP($I281,[1]DB2!$F$2:$I$58,2,0),"옛날 부서명 확인")</f>
        <v xml:space="preserve">Natural Environment Division </v>
      </c>
      <c r="S281" t="str">
        <f>IFERROR(VLOOKUP($I281,[1]DB2!$F$2:$I$58,4,0),"옛날 부서명 확인")</f>
        <v xml:space="preserve">Land and Environment Research Group </v>
      </c>
    </row>
    <row r="282">
      <c r="B282" t="str">
        <v>수탁과제</v>
      </c>
      <c r="C282" t="str">
        <v>2026-014(R)</v>
      </c>
      <c r="D282" t="str">
        <v>해양산업시설 배출 위험유해물질 영향평가 및 관리기술 개발(6차년도)</v>
      </c>
      <c r="F282" t="str">
        <v>10227</v>
      </c>
      <c r="G282" t="str">
        <v>김태윤</v>
      </c>
      <c r="H282" t="str">
        <v>202508165</v>
      </c>
      <c r="I282" t="str">
        <v>기후에너지평가실</v>
      </c>
      <c r="J282">
        <v>110000000</v>
      </c>
      <c r="K282" s="1" t="d">
        <v>2025-12-31T23:59:08.000Z</v>
      </c>
      <c r="L282" s="1" t="d">
        <v>2026-12-30T23:59:08.000Z</v>
      </c>
      <c r="M282" t="str">
        <v>해양수산과학기술진흥원</v>
      </c>
      <c r="N282" t="str">
        <v>Developing Impact Assessment and Management Technologies for Hazardous Emissions from Marine Industrial Facilities (Year 6)</v>
      </c>
      <c r="O282" t="str">
        <f>IFERROR(VLOOKUP($G282,[1]DB2!$A:$B,2,0),"공동과책 확인")</f>
        <v>Kim, Taeyun</v>
      </c>
      <c r="P282" t="str">
        <v>Environmental Assessment</v>
      </c>
      <c r="Q282" t="str">
        <v>Marine Environment</v>
      </c>
      <c r="R282" t="str">
        <f>IFERROR(VLOOKUP($I282,[1]DB2!$F$2:$I$58,2,0),"옛날 부서명 확인")</f>
        <v xml:space="preserve">Climate and Energy Assessment Division </v>
      </c>
      <c r="S282" t="str">
        <f>IFERROR(VLOOKUP($I282,[1]DB2!$F$2:$I$58,4,0),"옛날 부서명 확인")</f>
        <v xml:space="preserve">Environmental Assessment Group </v>
      </c>
    </row>
    <row r="283">
      <c r="B283" t="str">
        <v>수탁과제</v>
      </c>
      <c r="C283" t="str">
        <v>2026-015(R)</v>
      </c>
      <c r="D283" t="str">
        <v>관측기반 온실가스 공간정보지도 구축 플랫폼 기술개발(4차년도)</v>
      </c>
      <c r="F283" t="str">
        <v>10260</v>
      </c>
      <c r="G283" t="str">
        <v>이승민</v>
      </c>
      <c r="H283" t="str">
        <v>202508187</v>
      </c>
      <c r="I283" t="str">
        <v>대기환경연구실</v>
      </c>
      <c r="J283">
        <v>36000000</v>
      </c>
      <c r="K283" s="1" t="d">
        <v>2025-12-31T23:59:08.000Z</v>
      </c>
      <c r="L283" s="1" t="d">
        <v>2026-12-30T23:59:08.000Z</v>
      </c>
      <c r="M283" t="str">
        <v>한국환경산업기술원</v>
      </c>
      <c r="N283" t="str">
        <v>Developing Technologies to Build an Observation-Based GHG Spatial Information Mapping Platform (Year 4)</v>
      </c>
      <c r="O283" t="str">
        <f>IFERROR(VLOOKUP($G283,[1]DB2!$A:$B,2,0),"공동과책 확인")</f>
        <v>Lee, Seungmin</v>
      </c>
      <c r="P283" t="str">
        <v>Carbon Neutrality and Energy</v>
      </c>
      <c r="Q283" t="str">
        <v>AI and Environmental Informatics</v>
      </c>
      <c r="R283" t="str">
        <f>IFERROR(VLOOKUP($I283,[1]DB2!$F$2:$I$58,2,0),"옛날 부서명 확인")</f>
        <v>Atmospheric Environment Division</v>
      </c>
      <c r="S283" t="str">
        <f>IFERROR(VLOOKUP($I283,[1]DB2!$F$2:$I$58,4,0),"옛날 부서명 확인")</f>
        <v xml:space="preserve">Climate and Atmospheric Strategy Research Group  </v>
      </c>
    </row>
    <row r="284">
      <c r="B284" t="str">
        <v>수탁과제</v>
      </c>
      <c r="C284" t="str">
        <v>2026-016(R)</v>
      </c>
      <c r="D284" t="str">
        <v>탁수의 수생태 영향 평가 및 예측 기술 개발(6차년도)</v>
      </c>
      <c r="F284" t="str">
        <v>10356</v>
      </c>
      <c r="G284" t="str">
        <v>최미경</v>
      </c>
      <c r="H284" t="str">
        <v>202508190</v>
      </c>
      <c r="I284" t="str">
        <v>물관리연구실</v>
      </c>
      <c r="J284">
        <v>51600000</v>
      </c>
      <c r="K284" s="1" t="d">
        <v>2025-12-31T23:59:08.000Z</v>
      </c>
      <c r="L284" s="1" t="d">
        <v>2026-12-30T23:59:08.000Z</v>
      </c>
      <c r="M284" t="str">
        <v>한국환경산업기술원</v>
      </c>
      <c r="N284" t="str">
        <v>Developing Technologies for Assessing and Predicting the Impacts of Turbidity on Aquatic Ecosystems (Year 6)</v>
      </c>
      <c r="O284" t="str">
        <f>IFERROR(VLOOKUP($G284,[1]DB2!$A:$B,2,0),"공동과책 확인")</f>
        <v>Choi, Mikyoung</v>
      </c>
      <c r="P284" t="str">
        <v>Water Management</v>
      </c>
      <c r="Q284" t="str">
        <v>Ecology</v>
      </c>
      <c r="R284" t="str">
        <f>IFERROR(VLOOKUP($I284,[1]DB2!$F$2:$I$58,2,0),"옛날 부서명 확인")</f>
        <v xml:space="preserve">Water Management Division </v>
      </c>
      <c r="S284" t="str">
        <f>IFERROR(VLOOKUP($I284,[1]DB2!$F$2:$I$58,4,0),"옛날 부서명 확인")</f>
        <v xml:space="preserve">Land and Environment Research Group </v>
      </c>
    </row>
    <row r="285">
      <c r="B285" t="str">
        <v>수탁과제</v>
      </c>
      <c r="C285" t="str">
        <v>2026-017(R)</v>
      </c>
      <c r="D285" t="str">
        <v>하천의 물리적 환경변화 고려 하천종단 수자원시설의 치수안전도 평가 기술개발(3차년도)</v>
      </c>
      <c r="F285" t="str">
        <v>10205</v>
      </c>
      <c r="G285" t="str">
        <v>강형식</v>
      </c>
      <c r="H285" t="str">
        <v>202508182</v>
      </c>
      <c r="I285" t="str">
        <v>국토환경연구본부</v>
      </c>
      <c r="J285">
        <v>16000000</v>
      </c>
      <c r="K285" s="1" t="d">
        <v>2025-12-31T23:59:08.000Z</v>
      </c>
      <c r="L285" s="1" t="d">
        <v>2026-12-30T23:59:08.000Z</v>
      </c>
      <c r="M285" t="str">
        <v>한국환경산업기술원</v>
      </c>
      <c r="N285" t="str">
        <v>Development of Technologies for Assessing Flood Safety of Longitudinal River Water Infrastructure Considering Physical Changes in River Environments (Year 3)</v>
      </c>
      <c r="O285" t="str">
        <f>IFERROR(VLOOKUP($G285,[1]DB2!$A:$B,2,0),"공동과책 확인")</f>
        <v>Kang, Hyeongsik</v>
      </c>
      <c r="P285" t="str">
        <v>Water Management</v>
      </c>
      <c r="Q285" t="str">
        <v>Climate Adaptation</v>
      </c>
      <c r="R285" t="str">
        <f>IFERROR(VLOOKUP($I285,[1]DB2!$F$2:$I$58,2,0),"옛날 부서명 확인")</f>
        <v xml:space="preserve">Land and Environment Research Group </v>
      </c>
      <c r="S285" t="str">
        <f>IFERROR(VLOOKUP($I285,[1]DB2!$F$2:$I$58,4,0),"옛날 부서명 확인")</f>
        <v xml:space="preserve">Land and Environment Research Group </v>
      </c>
    </row>
    <row r="286">
      <c r="B286" t="str">
        <v>수탁과제</v>
      </c>
      <c r="C286" t="str">
        <v>2026-018(R)</v>
      </c>
      <c r="D286" t="str">
        <v>기후변화 대응을 위한 농축산부문 2030 NDC 온실가스 감축 이행 평가(3차년도)</v>
      </c>
      <c r="F286" t="str">
        <v>10185</v>
      </c>
      <c r="G286" t="str">
        <v>명수정</v>
      </c>
      <c r="H286" t="str">
        <v>202508192</v>
      </c>
      <c r="I286" t="str">
        <v>자연환경연구실</v>
      </c>
      <c r="J286">
        <v>53000000</v>
      </c>
      <c r="K286" s="1" t="d">
        <v>2025-12-31T23:59:08.000Z</v>
      </c>
      <c r="L286" s="1" t="d">
        <v>2026-12-30T23:59:08.000Z</v>
      </c>
      <c r="M286" t="str">
        <v>농촌진흥청</v>
      </c>
      <c r="N286" t="str">
        <v>Evaluation of Greenhouse Gas Reduction under the 2030 NDC in the Agriculture and Livestock Sector (Year 3)</v>
      </c>
      <c r="O286" t="str">
        <f>IFERROR(VLOOKUP($G286,[1]DB2!$A:$B,2,0),"공동과책 확인")</f>
        <v>Myeong, Soojeong</v>
      </c>
      <c r="P286" t="str">
        <v>Carbon Neutrality and Energy</v>
      </c>
      <c r="Q286" t="str">
        <v>Climate Adaptation</v>
      </c>
      <c r="R286" t="str">
        <f>IFERROR(VLOOKUP($I286,[1]DB2!$F$2:$I$58,2,0),"옛날 부서명 확인")</f>
        <v xml:space="preserve">Natural Environment Division </v>
      </c>
      <c r="S286" t="str">
        <f>IFERROR(VLOOKUP($I286,[1]DB2!$F$2:$I$58,4,0),"옛날 부서명 확인")</f>
        <v xml:space="preserve">Land and Environment Research Group </v>
      </c>
    </row>
    <row r="287">
      <c r="B287" t="str">
        <v>수탁과제</v>
      </c>
      <c r="C287" t="str">
        <v>2026-019(R)</v>
      </c>
      <c r="D287" t="str">
        <v>해양환경 잔류성 오염물질 관리기술 개발(3차년도)</v>
      </c>
      <c r="F287" t="str">
        <v>10349</v>
      </c>
      <c r="G287" t="str">
        <v>정윤선</v>
      </c>
      <c r="H287" t="str">
        <v>202508119</v>
      </c>
      <c r="I287" t="str">
        <v>환경보건연구실</v>
      </c>
      <c r="J287">
        <v>50000000</v>
      </c>
      <c r="K287" s="1" t="d">
        <v>2025-12-31T23:59:08.000Z</v>
      </c>
      <c r="L287" s="1" t="d">
        <v>2026-12-30T23:59:08.000Z</v>
      </c>
      <c r="M287" t="str">
        <v>해양수산과학기술진흥원</v>
      </c>
      <c r="N287" t="str">
        <v>Development of Management Technologies for Persistent Pollutants in the Marine Environment (Year 3)</v>
      </c>
      <c r="O287" t="str">
        <f>IFERROR(VLOOKUP($G287,[1]DB2!$A:$B,2,0),"공동과책 확인")</f>
        <v>Jeong, Yunsun</v>
      </c>
      <c r="P287" t="str">
        <v>Marine Environment</v>
      </c>
      <c r="Q287" t="str">
        <v>Environmental Health</v>
      </c>
      <c r="R287" t="str">
        <f>IFERROR(VLOOKUP($I287,[1]DB2!$F$2:$I$58,2,0),"옛날 부서명 확인")</f>
        <v xml:space="preserve">Environmental Health Division </v>
      </c>
      <c r="S287" t="str">
        <f>IFERROR(VLOOKUP($I287,[1]DB2!$F$2:$I$58,4,0),"옛날 부서명 확인")</f>
        <v xml:space="preserve">Sustainable Development Research Group  </v>
      </c>
    </row>
    <row r="288">
      <c r="B288" t="str">
        <v>수탁과제</v>
      </c>
      <c r="C288" t="str">
        <v>2026-020(R)</v>
      </c>
      <c r="D288" t="str">
        <v>아열대 해양환경 적응 시나리오 개발 대응책 및 활용체계 구축 사업(2차년도)</v>
      </c>
      <c r="F288" t="str">
        <v>10300</v>
      </c>
      <c r="G288" t="str">
        <v>구경아</v>
      </c>
      <c r="H288" t="str">
        <v>202508192</v>
      </c>
      <c r="I288" t="str">
        <v>자연환경연구실</v>
      </c>
      <c r="J288">
        <v>12500000</v>
      </c>
      <c r="K288" s="1" t="d">
        <v>2025-12-31T23:59:08.000Z</v>
      </c>
      <c r="L288" s="1" t="d">
        <v>2026-12-30T23:59:08.000Z</v>
      </c>
      <c r="M288" t="str">
        <v>해양수산과학기술진흥원</v>
      </c>
      <c r="N288" t="str">
        <v>Development of Adaptation Strategies for Marine Environments in Response to Subtropicalization: Scenarios, Solutions, and Utilization (Year 2)</v>
      </c>
      <c r="O288" t="str">
        <f>IFERROR(VLOOKUP($G288,[1]DB2!$A:$B,2,0),"공동과책 확인")</f>
        <v xml:space="preserve">Koo, Kyung Ah </v>
      </c>
      <c r="P288" t="str">
        <v>Climate Adaptation</v>
      </c>
      <c r="Q288" t="str">
        <v>Marine Environment</v>
      </c>
      <c r="R288" t="str">
        <f>IFERROR(VLOOKUP($I288,[1]DB2!$F$2:$I$58,2,0),"옛날 부서명 확인")</f>
        <v xml:space="preserve">Natural Environment Division </v>
      </c>
      <c r="S288" t="str">
        <f>IFERROR(VLOOKUP($I288,[1]DB2!$F$2:$I$58,4,0),"옛날 부서명 확인")</f>
        <v xml:space="preserve">Land and Environment Research Group </v>
      </c>
    </row>
    <row r="289">
      <c r="B289" t="str">
        <v>수탁과제</v>
      </c>
      <c r="C289" t="str">
        <v>2026-021(R)</v>
      </c>
      <c r="D289" t="str">
        <v>수생태계 서비스 평가지표 개발 및 가치평가 기술개발(2차년도)</v>
      </c>
      <c r="F289" t="str">
        <v>10292</v>
      </c>
      <c r="G289" t="str">
        <v>김현노</v>
      </c>
      <c r="H289" t="str">
        <v>202508095</v>
      </c>
      <c r="I289" t="str">
        <v>녹색경제연구실</v>
      </c>
      <c r="J289">
        <v>270000000</v>
      </c>
      <c r="K289" s="1" t="d">
        <v>2025-12-31T23:59:08.000Z</v>
      </c>
      <c r="L289" s="1" t="d">
        <v>2026-12-30T23:59:08.000Z</v>
      </c>
      <c r="M289" t="str">
        <v>한국환경산업기술원</v>
      </c>
      <c r="N289" t="str">
        <v>Developing Assessment Indicators and Valuation Technologies for Aquatic Ecosystem Services (Year 2)</v>
      </c>
      <c r="O289" t="str">
        <f>IFERROR(VLOOKUP($G289,[1]DB2!$A:$B,2,0),"공동과책 확인")</f>
        <v>Kim, Hyunno</v>
      </c>
      <c r="P289" t="str">
        <v>Environmental Economics</v>
      </c>
      <c r="Q289" t="str">
        <v>Ecology</v>
      </c>
      <c r="R289" t="str">
        <f>IFERROR(VLOOKUP($I289,[1]DB2!$F$2:$I$58,2,0),"옛날 부서명 확인")</f>
        <v xml:space="preserve">Green Economy Division </v>
      </c>
      <c r="S289" t="str">
        <f>IFERROR(VLOOKUP($I289,[1]DB2!$F$2:$I$58,4,0),"옛날 부서명 확인")</f>
        <v xml:space="preserve">Climate and Atmospheric Strategy Research Group  </v>
      </c>
    </row>
    <row r="290">
      <c r="B290" t="str">
        <v>수탁과제</v>
      </c>
      <c r="C290" t="str">
        <v>2026-022(R)</v>
      </c>
      <c r="D290" t="str">
        <v>시민참여형 기후 적응 최적화를 위한 시민·사회·경제·환경 데이터 분석을 통한 정책평가기술 개발(2차년도)</v>
      </c>
      <c r="F290" t="str">
        <v>10146</v>
      </c>
      <c r="G290" t="str">
        <v>채여라</v>
      </c>
      <c r="H290" t="str">
        <v>202508197</v>
      </c>
      <c r="I290" t="str">
        <v>탄소중립연구실</v>
      </c>
      <c r="J290">
        <v>109000000</v>
      </c>
      <c r="K290" s="1" t="d">
        <v>2025-12-31T23:59:08.000Z</v>
      </c>
      <c r="L290" s="1" t="d">
        <v>2026-12-30T23:59:08.000Z</v>
      </c>
      <c r="M290" t="str">
        <v>한국환경산업기술원</v>
      </c>
      <c r="N290" t="str">
        <v>Developing Policy Evaluation Techniques Using Citizen, Social, Economic, and Environmental Data for Citizen-Participatory Climate Adaptation (Year 2)</v>
      </c>
      <c r="O290" t="str">
        <f>IFERROR(VLOOKUP($G290,[1]DB2!$A:$B,2,0),"공동과책 확인")</f>
        <v>Chae, Yeora</v>
      </c>
      <c r="P290" t="str">
        <v>Climate Adaptation</v>
      </c>
      <c r="Q290" t="str">
        <v>Socio-Environmental Interface</v>
      </c>
      <c r="R290" t="str">
        <f>IFERROR(VLOOKUP($I290,[1]DB2!$F$2:$I$58,2,0),"옛날 부서명 확인")</f>
        <v xml:space="preserve">Carbon Neutrality Division </v>
      </c>
      <c r="S290" t="str">
        <f>IFERROR(VLOOKUP($I290,[1]DB2!$F$2:$I$58,4,0),"옛날 부서명 확인")</f>
        <v xml:space="preserve">Climate and Atmospheric Strategy Research Group  </v>
      </c>
    </row>
    <row r="291">
      <c r="B291" t="str">
        <v>수탁과제</v>
      </c>
      <c r="C291" t="str">
        <v>2026-023(R)</v>
      </c>
      <c r="D291" t="str">
        <v>스마트 및 지속가능 도시 표준화 기반 조성 및 탄소중립 도시 관련 국제표준 개발(2차년도)</v>
      </c>
      <c r="F291" t="str">
        <v>10283</v>
      </c>
      <c r="G291" t="str">
        <v>송지윤</v>
      </c>
      <c r="H291" t="str">
        <v>202508124</v>
      </c>
      <c r="I291" t="str">
        <v>기후적응정책실</v>
      </c>
      <c r="J291">
        <v>22400000</v>
      </c>
      <c r="K291" s="1" t="d">
        <v>2025-12-31T23:59:08.000Z</v>
      </c>
      <c r="L291" s="1" t="d">
        <v>2026-12-30T23:59:08.000Z</v>
      </c>
      <c r="M291" t="str">
        <v>한국산업기술기획평가원</v>
      </c>
      <c r="N291" t="str">
        <v>Establishment of a Standardization Foundation for Smart and Sustainable Cities and Communities and Development of International Standards Related to Carbon-neutral Cities (Year 2)</v>
      </c>
      <c r="O291" t="str">
        <f>IFERROR(VLOOKUP($G291,[1]DB2!$A:$B,2,0),"공동과책 확인")</f>
        <v xml:space="preserve">Song, Jiyoon </v>
      </c>
      <c r="P291" t="str">
        <v>Land and Urban Environment</v>
      </c>
      <c r="Q291" t="str">
        <v>Carbon Neutrality and Energy</v>
      </c>
      <c r="R291" t="str">
        <f>IFERROR(VLOOKUP($I291,[1]DB2!$F$2:$I$58,2,0),"옛날 부서명 확인")</f>
        <v xml:space="preserve">Climate Adaptation Policy Division </v>
      </c>
      <c r="S291" t="str">
        <f>IFERROR(VLOOKUP($I291,[1]DB2!$F$2:$I$58,4,0),"옛날 부서명 확인")</f>
        <v xml:space="preserve">Korea Adaptation Center for Climate Change </v>
      </c>
    </row>
    <row r="292">
      <c r="B292" t="str">
        <v>수탁과제</v>
      </c>
      <c r="C292" t="str">
        <v>2026-024(R)</v>
      </c>
      <c r="D292" t="str">
        <v>지반변위 고려 급경사지 재해 위험성 분석기술 개발(2차년도)</v>
      </c>
      <c r="F292" t="str">
        <v>10317</v>
      </c>
      <c r="G292" t="str">
        <v>이승수</v>
      </c>
      <c r="H292" t="str">
        <v>202508190</v>
      </c>
      <c r="I292" t="str">
        <v>물관리연구실</v>
      </c>
      <c r="J292">
        <v>3200000</v>
      </c>
      <c r="K292" s="1" t="d">
        <v>2025-12-31T23:59:08.000Z</v>
      </c>
      <c r="L292" s="1" t="d">
        <v>2026-12-30T23:59:08.000Z</v>
      </c>
      <c r="M292" t="str">
        <v>한국산업기술기획평가원</v>
      </c>
      <c r="N292" t="str">
        <v>Development of Disaster Risk Analysis Technology for Steep Slopes Considering Ground Displacement (Year 2)</v>
      </c>
      <c r="O292" t="str">
        <f>IFERROR(VLOOKUP($G292,[1]DB2!$A:$B,2,0),"공동과책 확인")</f>
        <v xml:space="preserve">Lee, Seungsoo </v>
      </c>
      <c r="P292" t="str">
        <v>Water Management</v>
      </c>
      <c r="R292" t="str">
        <f>IFERROR(VLOOKUP($I292,[1]DB2!$F$2:$I$58,2,0),"옛날 부서명 확인")</f>
        <v xml:space="preserve">Water Management Division </v>
      </c>
      <c r="S292" t="str">
        <f>IFERROR(VLOOKUP($I292,[1]DB2!$F$2:$I$58,4,0),"옛날 부서명 확인")</f>
        <v xml:space="preserve">Land and Environment Research Group </v>
      </c>
    </row>
    <row r="293">
      <c r="B293" t="str">
        <v>수탁과제</v>
      </c>
      <c r="C293" t="str">
        <v>2026-025(R)</v>
      </c>
      <c r="D293" t="str">
        <v>WMO IG³IS 이행사업 개선(3차년도)</v>
      </c>
      <c r="F293" t="str">
        <v>10348</v>
      </c>
      <c r="G293" t="str">
        <v>한지현</v>
      </c>
      <c r="H293" t="str">
        <v>202508187</v>
      </c>
      <c r="I293" t="str">
        <v>대기환경연구실</v>
      </c>
      <c r="J293">
        <v>100000000</v>
      </c>
      <c r="K293" s="1" t="d">
        <v>2025-12-31T23:59:08.000Z</v>
      </c>
      <c r="L293" s="1" t="d">
        <v>2026-12-30T23:59:08.000Z</v>
      </c>
      <c r="M293" t="str">
        <v>한국환경산업기술원</v>
      </c>
      <c r="N293" t="str">
        <v>Enhancing the Implementation of WMO’s Integrated Global Greenhouse Gas Information System (IG³IS) (Year 3)</v>
      </c>
      <c r="O293" t="str">
        <f>IFERROR(VLOOKUP($G293,[1]DB2!$A:$B,2,0),"공동과책 확인")</f>
        <v xml:space="preserve">Han, Jihyun </v>
      </c>
      <c r="P293" t="str">
        <v>Carbon Neutrality and Energy</v>
      </c>
      <c r="Q293" t="str">
        <v>International Environmental Collaboration</v>
      </c>
      <c r="R293" t="str">
        <f>IFERROR(VLOOKUP($I293,[1]DB2!$F$2:$I$58,2,0),"옛날 부서명 확인")</f>
        <v>Atmospheric Environment Division</v>
      </c>
      <c r="S293" t="str">
        <f>IFERROR(VLOOKUP($I293,[1]DB2!$F$2:$I$58,4,0),"옛날 부서명 확인")</f>
        <v xml:space="preserve">Climate and Atmospheric Strategy Research Group  </v>
      </c>
    </row>
    <row r="294">
      <c r="B294" t="str">
        <v>수탁과제</v>
      </c>
      <c r="C294" t="str">
        <v>2026-026(R)</v>
      </c>
      <c r="D294" t="str">
        <v>탄소공간지도기반 계획지원 기술개발(4차년도)</v>
      </c>
      <c r="F294" t="str">
        <v>10281</v>
      </c>
      <c r="G294" t="str">
        <v>김근한</v>
      </c>
      <c r="H294" t="str">
        <v>202508205</v>
      </c>
      <c r="I294" t="str">
        <v>국토관리연구실</v>
      </c>
      <c r="J294">
        <v>200000000</v>
      </c>
      <c r="K294" s="1" t="d">
        <v>2025-12-31T23:59:08.000Z</v>
      </c>
      <c r="L294" s="1" t="d">
        <v>2026-12-30T23:59:08.000Z</v>
      </c>
      <c r="M294" t="str">
        <v>국토교통과학기술진흥원</v>
      </c>
      <c r="N294" t="str">
        <v>Technology Development for Supporting Carbon Mapping-Based Planning (Year 4)</v>
      </c>
      <c r="O294" t="str">
        <f>IFERROR(VLOOKUP($G294,[1]DB2!$A:$B,2,0),"공동과책 확인")</f>
        <v xml:space="preserve">Kim, Geunhan </v>
      </c>
      <c r="P294" t="str">
        <v>Carbon Neutrality and Energy</v>
      </c>
      <c r="Q294" t="str">
        <v>Land and Urban Environment</v>
      </c>
      <c r="R294" t="str">
        <f>IFERROR(VLOOKUP($I294,[1]DB2!$F$2:$I$58,2,0),"옛날 부서명 확인")</f>
        <v>Spatial Planning and Management Division</v>
      </c>
      <c r="S294" t="str">
        <f>IFERROR(VLOOKUP($I294,[1]DB2!$F$2:$I$58,4,0),"옛날 부서명 확인")</f>
        <v xml:space="preserve">Land and Environment Research Group </v>
      </c>
    </row>
    <row r="295">
      <c r="B295" t="str">
        <v>수탁과제</v>
      </c>
      <c r="C295" t="str">
        <v>2026-027(R)</v>
      </c>
      <c r="D295" t="str">
        <v>AI 기반 음향·공간정보 융합을 통한 준실시간 생물다양성 모니터링 실용화 기술 개발(2차년도)</v>
      </c>
      <c r="F295" t="str">
        <v>10346</v>
      </c>
      <c r="G295" t="str">
        <v>최유영</v>
      </c>
      <c r="H295" t="str">
        <v>202508163</v>
      </c>
      <c r="I295" t="str">
        <v>국토전략평가실</v>
      </c>
      <c r="J295">
        <v>210000000</v>
      </c>
      <c r="K295" s="1" t="d">
        <v>2025-12-31T23:59:08.000Z</v>
      </c>
      <c r="L295" s="1" t="d">
        <v>2026-12-30T23:59:08.000Z</v>
      </c>
      <c r="M295" t="str">
        <v>한국연구재단</v>
      </c>
      <c r="N295" t="str">
        <v>BiodivAID: Advanced Biodiversity AI-driven Assessment Platform for Informed Environmental Decision-Making  (Year 2)</v>
      </c>
      <c r="O295" t="str">
        <f>IFERROR(VLOOKUP($G295,[1]DB2!$A:$B,2,0),"공동과책 확인")</f>
        <v>Choi, Yuyoung</v>
      </c>
      <c r="P295" t="str">
        <v>AI and Environmental Informatics</v>
      </c>
      <c r="Q295" t="str">
        <v>Ecology</v>
      </c>
      <c r="R295" t="str">
        <f>IFERROR(VLOOKUP($I295,[1]DB2!$F$2:$I$58,2,0),"옛날 부서명 확인")</f>
        <v xml:space="preserve">Land Strategy Assessment Division </v>
      </c>
      <c r="S295" t="str">
        <f>IFERROR(VLOOKUP($I295,[1]DB2!$F$2:$I$58,4,0),"옛날 부서명 확인")</f>
        <v xml:space="preserve">Environmental Assessment Group </v>
      </c>
    </row>
    <row r="296">
      <c r="B296" t="str">
        <v>수탁과제</v>
      </c>
      <c r="C296" t="str">
        <v>2026-028(R)</v>
      </c>
      <c r="D296" t="str">
        <v>산사태 발생 우려지역 스마트 조사 기술 개발(2차년도)</v>
      </c>
      <c r="F296" t="str">
        <v>10281</v>
      </c>
      <c r="G296" t="str">
        <v>김근한</v>
      </c>
      <c r="H296" t="str">
        <v>202508205</v>
      </c>
      <c r="I296" t="str">
        <v>국토관리연구실</v>
      </c>
      <c r="J296">
        <v>144900000</v>
      </c>
      <c r="K296" s="1" t="d">
        <v>2025-12-31T23:59:08.000Z</v>
      </c>
      <c r="L296" s="1" t="d">
        <v>2026-12-30T23:59:08.000Z</v>
      </c>
      <c r="M296" t="str">
        <v>한국임업진흥원</v>
      </c>
      <c r="N296" t="str">
        <v>Development of Smart Survey Technology for Areas Vulnerable to Landslides (Year 2)</v>
      </c>
      <c r="O296" t="str">
        <f>IFERROR(VLOOKUP($G296,[1]DB2!$A:$B,2,0),"공동과책 확인")</f>
        <v xml:space="preserve">Kim, Geunhan </v>
      </c>
      <c r="P296" t="str">
        <v>Land and Urban Environment</v>
      </c>
      <c r="Q296" t="str">
        <v>AI and Environmental Informatics</v>
      </c>
      <c r="R296" t="str">
        <f>IFERROR(VLOOKUP($I296,[1]DB2!$F$2:$I$58,2,0),"옛날 부서명 확인")</f>
        <v>Spatial Planning and Management Division</v>
      </c>
      <c r="S296" t="str">
        <f>IFERROR(VLOOKUP($I296,[1]DB2!$F$2:$I$58,4,0),"옛날 부서명 확인")</f>
        <v xml:space="preserve">Land and Environment Research Group </v>
      </c>
    </row>
    <row r="297">
      <c r="B297" t="str">
        <v>수탁과제</v>
      </c>
      <c r="C297" t="str">
        <v>2026-029(R)</v>
      </c>
      <c r="D297" t="str">
        <v>지하공간 침수위험도 평가 및 한국형 침수피해 저감시설 개발(2차년도)</v>
      </c>
      <c r="F297" t="str">
        <v>10317</v>
      </c>
      <c r="G297" t="str">
        <v>이승수</v>
      </c>
      <c r="H297" t="str">
        <v>202508190</v>
      </c>
      <c r="I297" t="str">
        <v>물관리연구실</v>
      </c>
      <c r="J297">
        <v>200000000</v>
      </c>
      <c r="K297" s="1" t="d">
        <v>2025-12-31T23:59:08.000Z</v>
      </c>
      <c r="L297" s="1" t="d">
        <v>2026-12-30T23:59:08.000Z</v>
      </c>
      <c r="M297" t="str">
        <v>국립재난안전연구원</v>
      </c>
      <c r="N297" t="str">
        <v>Flood Risk Assessment for Underground Spaces and Development of Flood Mitigation Facilities Tailored to Korea (Year 2)</v>
      </c>
      <c r="O297" t="str">
        <f>IFERROR(VLOOKUP($G297,[1]DB2!$A:$B,2,0),"공동과책 확인")</f>
        <v xml:space="preserve">Lee, Seungsoo </v>
      </c>
      <c r="P297" t="str">
        <v>Water Management</v>
      </c>
      <c r="R297" t="str">
        <f>IFERROR(VLOOKUP($I297,[1]DB2!$F$2:$I$58,2,0),"옛날 부서명 확인")</f>
        <v xml:space="preserve">Water Management Division </v>
      </c>
      <c r="S297" t="str">
        <f>IFERROR(VLOOKUP($I297,[1]DB2!$F$2:$I$58,4,0),"옛날 부서명 확인")</f>
        <v xml:space="preserve">Land and Environment Research Group </v>
      </c>
    </row>
    <row r="298">
      <c r="B298" t="str">
        <v>수탁과제</v>
      </c>
      <c r="C298" t="str">
        <v>2026-031</v>
      </c>
      <c r="D298" t="str">
        <v>대규모 건강 코호트를 활용한 미세먼지 등 대기오염 노출 건강 영향 연구</v>
      </c>
      <c r="F298" t="str">
        <v>10228</v>
      </c>
      <c r="G298" t="str">
        <v>강성원</v>
      </c>
      <c r="H298" t="str">
        <v>202508095</v>
      </c>
      <c r="I298" t="str">
        <v>녹색경제연구실</v>
      </c>
      <c r="J298">
        <v>90909090</v>
      </c>
      <c r="K298" s="1" t="d">
        <v>2025-12-31T23:59:08.000Z</v>
      </c>
      <c r="L298" s="1" t="d">
        <v>2026-12-30T23:59:08.000Z</v>
      </c>
      <c r="M298" t="str">
        <v>국립보건연구원</v>
      </c>
      <c r="N298" t="str">
        <v>Study on the Health Effects of Fine Dust and Other Air Pollutants Using a Large-Scale Cohort Study</v>
      </c>
      <c r="O298" t="str">
        <f>IFERROR(VLOOKUP($G298,[1]DB2!$A:$B,2,0),"공동과책 확인")</f>
        <v>Kang, Sungwon</v>
      </c>
      <c r="P298" t="str">
        <v>Environmental Health</v>
      </c>
      <c r="Q298" t="str">
        <v>Atmospheric Environment</v>
      </c>
      <c r="R298" t="str">
        <f>IFERROR(VLOOKUP($I298,[1]DB2!$F$2:$I$58,2,0),"옛날 부서명 확인")</f>
        <v xml:space="preserve">Green Economy Division </v>
      </c>
      <c r="S298" t="str">
        <f>IFERROR(VLOOKUP($I298,[1]DB2!$F$2:$I$58,4,0),"옛날 부서명 확인")</f>
        <v xml:space="preserve">Climate and Atmospheric Strategy Research Group  </v>
      </c>
    </row>
    <row r="299">
      <c r="B299" t="str">
        <v>수탁과제</v>
      </c>
      <c r="C299" t="str">
        <v>2026-032(R)</v>
      </c>
      <c r="D299" t="str">
        <v>수자원 다변화를 위한 지하수저류댐 연계 핵심기술 개발</v>
      </c>
      <c r="F299" t="str">
        <v>10226</v>
      </c>
      <c r="G299" t="str">
        <v>현윤정</v>
      </c>
      <c r="H299" t="str">
        <v>202508190</v>
      </c>
      <c r="I299" t="str">
        <v>물관리연구실</v>
      </c>
      <c r="J299">
        <v>18303000</v>
      </c>
      <c r="K299" s="1" t="d">
        <v>2025-12-31T23:59:08.000Z</v>
      </c>
      <c r="L299" s="1" t="d">
        <v>2026-12-30T23:59:08.000Z</v>
      </c>
      <c r="M299" t="str">
        <v>한국환경산업기술원</v>
      </c>
      <c r="N299" t="str">
        <v>Core Technology Development for Groundwater Dam Integration to Diversify Water Resources</v>
      </c>
      <c r="O299" t="str">
        <f>IFERROR(VLOOKUP($G299,[1]DB2!$A:$B,2,0),"공동과책 확인")</f>
        <v>Hyun, Yunjung</v>
      </c>
      <c r="P299" t="str">
        <v>Water Management</v>
      </c>
      <c r="Q299" t="str">
        <v>Climate Adaptation</v>
      </c>
      <c r="R299" t="str">
        <f>IFERROR(VLOOKUP($I299,[1]DB2!$F$2:$I$58,2,0),"옛날 부서명 확인")</f>
        <v xml:space="preserve">Water Management Division </v>
      </c>
      <c r="S299" t="str">
        <f>IFERROR(VLOOKUP($I299,[1]DB2!$F$2:$I$58,4,0),"옛날 부서명 확인")</f>
        <v xml:space="preserve">Land and Environment Research Group </v>
      </c>
    </row>
    <row r="300">
      <c r="B300" t="str">
        <v>수탁과제</v>
      </c>
      <c r="C300" t="str">
        <v>2026-033</v>
      </c>
      <c r="D300" t="str">
        <v>환경보건정보 빅데이터 분야 환경보건센터(2차년도)</v>
      </c>
      <c r="F300" t="str">
        <v>10211</v>
      </c>
      <c r="G300" t="str">
        <v>배현주</v>
      </c>
      <c r="H300" t="str">
        <v>202508119</v>
      </c>
      <c r="I300" t="str">
        <v>환경보건연구실</v>
      </c>
      <c r="J300">
        <v>263000000</v>
      </c>
      <c r="K300" s="1" t="d">
        <v>2025-12-31T23:59:08.000Z</v>
      </c>
      <c r="L300" s="1" t="d">
        <v>2026-12-30T23:59:08.000Z</v>
      </c>
      <c r="M300" t="str">
        <v>기후에너지환경부</v>
      </c>
      <c r="N300" t="str">
        <v>Environmental Health Big Data Information Center (Year 2)</v>
      </c>
      <c r="O300" t="str">
        <f>IFERROR(VLOOKUP($G300,[1]DB2!$A:$B,2,0),"공동과책 확인")</f>
        <v>Bae, Hyun-Joo</v>
      </c>
      <c r="P300" t="str">
        <v>Environmental Health</v>
      </c>
      <c r="Q300" t="str">
        <v>AI and Environmental Informatics</v>
      </c>
      <c r="R300" t="str">
        <f>IFERROR(VLOOKUP($I300,[1]DB2!$F$2:$I$58,2,0),"옛날 부서명 확인")</f>
        <v xml:space="preserve">Environmental Health Division </v>
      </c>
      <c r="S300" t="str">
        <f>IFERROR(VLOOKUP($I300,[1]DB2!$F$2:$I$58,4,0),"옛날 부서명 확인")</f>
        <v xml:space="preserve">Sustainable Development Research Group  </v>
      </c>
    </row>
    <row r="301">
      <c r="B301" t="str">
        <v>일반사업</v>
      </c>
      <c r="C301" t="str">
        <v>GP2026-01</v>
      </c>
      <c r="D301" t="str">
        <v>지구환경정보센터 운영</v>
      </c>
      <c r="F301" t="str">
        <v>10217</v>
      </c>
      <c r="G301" t="str">
        <v>박준현</v>
      </c>
      <c r="H301" t="str">
        <v>202508198</v>
      </c>
      <c r="I301" t="str">
        <v>글로벌협력팀</v>
      </c>
      <c r="J301">
        <v>39000000</v>
      </c>
      <c r="K301" s="1" t="d">
        <v>2025-12-31T23:59:08.000Z</v>
      </c>
      <c r="L301" s="1" t="d">
        <v>2026-12-30T23:59:08.000Z</v>
      </c>
      <c r="N301" t="str">
        <v>Management of the Global Environmental Information Center</v>
      </c>
      <c r="O301" t="str">
        <f>IFERROR(VLOOKUP($G301,[1]DB2!$A:$B,2,0),"공동과책 확인")</f>
        <v>Park, Jun Hyun</v>
      </c>
      <c r="P301" t="str">
        <v>International Environmental Collaboration</v>
      </c>
      <c r="R301" t="str">
        <f>IFERROR(VLOOKUP($I301,[1]DB2!$F$2:$I$58,2,0),"옛날 부서명 확인")</f>
        <v>Global Cooperation Team</v>
      </c>
      <c r="S301" t="str">
        <f>IFERROR(VLOOKUP($I301,[1]DB2!$F$2:$I$58,4,0),"옛날 부서명 확인")</f>
        <v xml:space="preserve">Department of Planning and Strategy </v>
      </c>
    </row>
    <row r="302">
      <c r="B302" t="str">
        <v>일반사업</v>
      </c>
      <c r="C302" t="str">
        <v>GP2026-02</v>
      </c>
      <c r="D302" t="str">
        <v>국토환경정보시스템 운영 관리</v>
      </c>
      <c r="F302" t="str">
        <v>10084</v>
      </c>
      <c r="G302" t="str">
        <v>윤정호</v>
      </c>
      <c r="H302" t="str">
        <v>202508205</v>
      </c>
      <c r="I302" t="str">
        <v>국토관리연구실</v>
      </c>
      <c r="J302">
        <v>88000000</v>
      </c>
      <c r="K302" s="1" t="d">
        <v>2025-12-31T23:59:08.000Z</v>
      </c>
      <c r="L302" s="1" t="d">
        <v>2026-12-30T23:59:08.000Z</v>
      </c>
      <c r="N302" t="str">
        <v>Management of the National Land Environmental Information Network System</v>
      </c>
      <c r="O302" t="str">
        <f>IFERROR(VLOOKUP($G302,[1]DB2!$A:$B,2,0),"공동과책 확인")</f>
        <v>Yoon, Jeongho</v>
      </c>
      <c r="P302" t="str">
        <v>Land and Urban Environment</v>
      </c>
      <c r="Q302" t="str">
        <v>AI and Environmental Informatics</v>
      </c>
      <c r="R302" t="str">
        <f>IFERROR(VLOOKUP($I302,[1]DB2!$F$2:$I$58,2,0),"옛날 부서명 확인")</f>
        <v>Spatial Planning and Management Division</v>
      </c>
      <c r="S302" t="str">
        <f>IFERROR(VLOOKUP($I302,[1]DB2!$F$2:$I$58,4,0),"옛날 부서명 확인")</f>
        <v xml:space="preserve">Land and Environment Research Group </v>
      </c>
    </row>
    <row r="303">
      <c r="B303" t="str">
        <v>일반사업</v>
      </c>
      <c r="C303" t="str">
        <v>GP2026-03</v>
      </c>
      <c r="D303" t="str">
        <v>환경정책교육원 운영</v>
      </c>
      <c r="F303" t="str">
        <v>10312</v>
      </c>
      <c r="G303" t="str">
        <v>김도균</v>
      </c>
      <c r="H303" t="str">
        <v>202508189</v>
      </c>
      <c r="I303" t="str">
        <v>생활환경사회연구실</v>
      </c>
      <c r="J303">
        <v>200000000</v>
      </c>
      <c r="K303" s="1" t="d">
        <v>2025-12-31T23:59:08.000Z</v>
      </c>
      <c r="L303" s="1" t="d">
        <v>2026-12-30T23:59:08.000Z</v>
      </c>
      <c r="N303" t="str">
        <v>KEI Environmental Policy Education Center</v>
      </c>
      <c r="O303" t="str">
        <f>IFERROR(VLOOKUP($G303,[1]DB2!$A:$B,2,0),"공동과책 확인")</f>
        <v>Kim, Dokyun</v>
      </c>
      <c r="P303" t="str">
        <v>Socio-Environmental Interface</v>
      </c>
      <c r="Q303" t="str">
        <v>AI and Environmental Informatics</v>
      </c>
      <c r="R303" t="str">
        <f>IFERROR(VLOOKUP($I303,[1]DB2!$F$2:$I$58,2,0),"옛날 부서명 확인")</f>
        <v xml:space="preserve">Living Environment and Society Division </v>
      </c>
      <c r="S303" t="str">
        <f>IFERROR(VLOOKUP($I303,[1]DB2!$F$2:$I$58,4,0),"옛날 부서명 확인")</f>
        <v xml:space="preserve">Sustainable Development Research Group  </v>
      </c>
    </row>
    <row r="304">
      <c r="B304" t="str">
        <v>일반사업</v>
      </c>
      <c r="C304" t="str">
        <v>GP2026-04</v>
      </c>
      <c r="D304" t="str">
        <v>국가 리스크 관리를 위한 기후변화 적응역량 구축·평가</v>
      </c>
      <c r="F304" t="str">
        <v>10210</v>
      </c>
      <c r="G304" t="str">
        <v>정휘철</v>
      </c>
      <c r="H304" t="str">
        <v>202508168</v>
      </c>
      <c r="I304" t="str">
        <v>국가기후위기적응센터</v>
      </c>
      <c r="J304">
        <v>70000000</v>
      </c>
      <c r="K304" s="1" t="d">
        <v>2025-12-31T23:59:08.000Z</v>
      </c>
      <c r="L304" s="1" t="d">
        <v>2026-12-30T23:59:08.000Z</v>
      </c>
      <c r="N304" t="str">
        <v>Building and Assessing Adaptive Capacity to Climate Change for the National Risk Management</v>
      </c>
      <c r="O304" t="str">
        <f>IFERROR(VLOOKUP($G304,[1]DB2!$A:$B,2,0),"공동과책 확인")</f>
        <v>Jung, Huicheul</v>
      </c>
      <c r="P304" t="str">
        <v>Climate Adaptation</v>
      </c>
      <c r="R304" t="str">
        <f>IFERROR(VLOOKUP($I304,[1]DB2!$F$2:$I$58,2,0),"옛날 부서명 확인")</f>
        <v xml:space="preserve">Korea Adaptation Center for Climate Change </v>
      </c>
      <c r="S304" t="str">
        <f>IFERROR(VLOOKUP($I304,[1]DB2!$F$2:$I$58,4,0),"옛날 부서명 확인")</f>
        <v xml:space="preserve">Korea Adaptation Center for Climate Change </v>
      </c>
    </row>
    <row r="305">
      <c r="B305" t="str">
        <v>일반사업</v>
      </c>
      <c r="C305" t="str">
        <v>GP2026-05</v>
      </c>
      <c r="D305" t="str">
        <v>환경평가 모니터링 사업</v>
      </c>
      <c r="F305" t="str">
        <v>10152</v>
      </c>
      <c r="G305" t="str">
        <v>이상범</v>
      </c>
      <c r="H305" t="str">
        <v>202508102</v>
      </c>
      <c r="I305" t="str">
        <v>환경평가본부</v>
      </c>
      <c r="J305">
        <v>248000000</v>
      </c>
      <c r="K305" s="1" t="d">
        <v>2025-12-31T23:59:08.000Z</v>
      </c>
      <c r="L305" s="1" t="d">
        <v>2026-12-30T23:59:08.000Z</v>
      </c>
      <c r="N305" t="str">
        <v>Environmental Assessment Monitoring Project</v>
      </c>
      <c r="O305" t="str">
        <f>IFERROR(VLOOKUP($G305,[1]DB2!$A:$B,2,0),"공동과책 확인")</f>
        <v>Lee, Sangbum</v>
      </c>
      <c r="P305" t="str">
        <v>Environmental Assessment</v>
      </c>
      <c r="R305" t="str">
        <f>IFERROR(VLOOKUP($I305,[1]DB2!$F$2:$I$58,2,0),"옛날 부서명 확인")</f>
        <v xml:space="preserve">Environmental Assessment Group </v>
      </c>
      <c r="S305" t="str">
        <f>IFERROR(VLOOKUP($I305,[1]DB2!$F$2:$I$58,4,0),"옛날 부서명 확인")</f>
        <v xml:space="preserve">Environmental Assessment Group </v>
      </c>
    </row>
    <row r="306">
      <c r="B306" t="str">
        <v>일반사업</v>
      </c>
      <c r="C306" t="str">
        <v>GP2026-06</v>
      </c>
      <c r="D306" t="str">
        <v>기후변화영향평가 검토 및 기법 연구</v>
      </c>
      <c r="F306" t="str">
        <v>10152</v>
      </c>
      <c r="G306" t="str">
        <v>이상범</v>
      </c>
      <c r="H306" t="str">
        <v>202508102</v>
      </c>
      <c r="I306" t="str">
        <v>환경평가본부</v>
      </c>
      <c r="J306">
        <v>259000000</v>
      </c>
      <c r="K306" s="1" t="d">
        <v>2025-12-31T23:59:08.000Z</v>
      </c>
      <c r="L306" s="1" t="d">
        <v>2026-12-30T23:59:08.000Z</v>
      </c>
      <c r="N306" t="str">
        <v>Review and Methodological Study of Climate Change Impact Assessment</v>
      </c>
      <c r="O306" t="str">
        <f>IFERROR(VLOOKUP($G306,[1]DB2!$A:$B,2,0),"공동과책 확인")</f>
        <v>Lee, Sangbum</v>
      </c>
      <c r="P306" t="str">
        <v>Environmental Assessment</v>
      </c>
      <c r="Q306" t="str">
        <v>Climate Adaptation</v>
      </c>
      <c r="R306" t="str">
        <f>IFERROR(VLOOKUP($I306,[1]DB2!$F$2:$I$58,2,0),"옛날 부서명 확인")</f>
        <v xml:space="preserve">Environmental Assessment Group </v>
      </c>
      <c r="S306" t="str">
        <f>IFERROR(VLOOKUP($I306,[1]DB2!$F$2:$I$58,4,0),"옛날 부서명 확인")</f>
        <v xml:space="preserve">Environmental Assessment Group </v>
      </c>
    </row>
    <row r="307">
      <c r="B307" t="str">
        <v>일반사업</v>
      </c>
      <c r="C307" t="str">
        <v>GP2026-07</v>
      </c>
      <c r="D307" t="str">
        <v>물-환경-경제 통합분석 기반 물정책전망(Water Policy Outlook) 연구</v>
      </c>
      <c r="F307" t="str">
        <v>10254</v>
      </c>
      <c r="G307" t="str">
        <v>류재나</v>
      </c>
      <c r="H307" t="str">
        <v>202508190</v>
      </c>
      <c r="I307" t="str">
        <v>물관리연구실</v>
      </c>
      <c r="J307">
        <v>210000000</v>
      </c>
      <c r="K307" s="1" t="d">
        <v>2025-12-31T23:59:08.000Z</v>
      </c>
      <c r="L307" s="1" t="d">
        <v>2026-12-30T23:59:08.000Z</v>
      </c>
      <c r="N307" t="str">
        <v>Water Policy Outlook Based on Integrated Analysis of Water, Environment, and Economy</v>
      </c>
      <c r="O307" t="str">
        <f>IFERROR(VLOOKUP($G307,[1]DB2!$A:$B,2,0),"공동과책 확인")</f>
        <v>Ryu, Jaena</v>
      </c>
      <c r="P307" t="str">
        <v>Water Management</v>
      </c>
      <c r="Q307" t="str">
        <v>Environmental Economics</v>
      </c>
      <c r="R307" t="str">
        <f>IFERROR(VLOOKUP($I307,[1]DB2!$F$2:$I$58,2,0),"옛날 부서명 확인")</f>
        <v xml:space="preserve">Water Management Division </v>
      </c>
      <c r="S307" t="str">
        <f>IFERROR(VLOOKUP($I307,[1]DB2!$F$2:$I$58,4,0),"옛날 부서명 확인")</f>
        <v xml:space="preserve">Land and Environment Research Group </v>
      </c>
    </row>
    <row r="308">
      <c r="B308" t="str">
        <v>일반사업</v>
      </c>
      <c r="C308" t="str">
        <v>GP2026-08</v>
      </c>
      <c r="D308" t="str">
        <v>글로벌 환경규제 대응을 위한 플라스틱 순환성 및 전주기 환경성 연구</v>
      </c>
      <c r="F308" t="str">
        <v>10273</v>
      </c>
      <c r="G308" t="str">
        <v>이소라</v>
      </c>
      <c r="H308" t="str">
        <v>202508204</v>
      </c>
      <c r="I308" t="str">
        <v>순환경제연구실</v>
      </c>
      <c r="J308">
        <v>200000000</v>
      </c>
      <c r="K308" s="1" t="d">
        <v>2025-12-31T23:59:08.000Z</v>
      </c>
      <c r="L308" s="1" t="d">
        <v>2026-12-30T23:59:08.000Z</v>
      </c>
      <c r="N308" t="str">
        <v>Research on the Circularity and Lifecycle Environmental Impacts of Plastics in Response to Global Environmental Regulations</v>
      </c>
      <c r="O308" t="str">
        <f>IFERROR(VLOOKUP($G308,[1]DB2!$A:$B,2,0),"공동과책 확인")</f>
        <v xml:space="preserve">Yi, Sora </v>
      </c>
      <c r="P308" t="str">
        <v>Circular Economy</v>
      </c>
      <c r="R308" t="str">
        <f>IFERROR(VLOOKUP($I308,[1]DB2!$F$2:$I$58,2,0),"옛날 부서명 확인")</f>
        <v xml:space="preserve">Circular Economy Division </v>
      </c>
      <c r="S308" t="str">
        <f>IFERROR(VLOOKUP($I308,[1]DB2!$F$2:$I$58,4,0),"옛날 부서명 확인")</f>
        <v xml:space="preserve">Sustainable Development Research Group  </v>
      </c>
    </row>
    <row r="309">
      <c r="B309" t="str">
        <v>일반사업</v>
      </c>
      <c r="C309" t="str">
        <v>GP2026-09</v>
      </c>
      <c r="D309" t="str">
        <v>생태계 계정 구축 및 생물다양성 주류화 정책 개발</v>
      </c>
      <c r="F309" t="str">
        <v>10304</v>
      </c>
      <c r="G309" t="str">
        <v>이후승</v>
      </c>
      <c r="H309" t="str">
        <v>202508192</v>
      </c>
      <c r="I309" t="str">
        <v>자연환경연구실</v>
      </c>
      <c r="J309">
        <v>180000000</v>
      </c>
      <c r="K309" s="1" t="d">
        <v>2025-12-31T23:59:08.000Z</v>
      </c>
      <c r="L309" s="1" t="d">
        <v>2026-12-30T23:59:08.000Z</v>
      </c>
      <c r="N309" t="str">
        <v>Development of Ecosystem Accounting and Biodiversity Mainstreaming Policies</v>
      </c>
      <c r="O309" t="str">
        <f>IFERROR(VLOOKUP($G309,[1]DB2!$A:$B,2,0),"공동과책 확인")</f>
        <v>Lee, Who-Seung</v>
      </c>
      <c r="P309" t="str">
        <v>Ecology</v>
      </c>
      <c r="Q309" t="str">
        <v>Sustainable Development</v>
      </c>
      <c r="R309" t="str">
        <f>IFERROR(VLOOKUP($I309,[1]DB2!$F$2:$I$58,2,0),"옛날 부서명 확인")</f>
        <v xml:space="preserve">Natural Environment Division </v>
      </c>
      <c r="S309" t="str">
        <f>IFERROR(VLOOKUP($I309,[1]DB2!$F$2:$I$58,4,0),"옛날 부서명 확인")</f>
        <v xml:space="preserve">Land and Environment Research Group </v>
      </c>
    </row>
    <row r="310">
      <c r="B310" t="str">
        <v>일반사업</v>
      </c>
      <c r="C310" t="str">
        <v>GP2026-10</v>
      </c>
      <c r="D310" t="str">
        <v>환경평가 효율화를 위한 통합진단시스템 구축</v>
      </c>
      <c r="F310" t="str">
        <v>10337</v>
      </c>
      <c r="G310" t="str">
        <v>박태호</v>
      </c>
      <c r="H310" t="str">
        <v>202508206</v>
      </c>
      <c r="I310" t="str">
        <v>사회기반평가실</v>
      </c>
      <c r="J310">
        <v>180000000</v>
      </c>
      <c r="K310" s="1" t="d">
        <v>2025-12-31T23:59:08.000Z</v>
      </c>
      <c r="L310" s="1" t="d">
        <v>2026-12-30T23:59:08.000Z</v>
      </c>
      <c r="N310" t="str">
        <v>Development of an Integrated Diagnostic System for Enhancing the Effectiveness of Environmental Assessment</v>
      </c>
      <c r="O310" t="str">
        <f>IFERROR(VLOOKUP($G310,[1]DB2!$A:$B,2,0),"공동과책 확인")</f>
        <v>Park, Taeho</v>
      </c>
      <c r="P310" t="str">
        <v>Environmental Assessment</v>
      </c>
      <c r="Q310" t="str">
        <v>AI and Environmental Informatics</v>
      </c>
      <c r="R310" t="str">
        <f>IFERROR(VLOOKUP($I310,[1]DB2!$F$2:$I$58,2,0),"옛날 부서명 확인")</f>
        <v xml:space="preserve">Social Infrastructure Assessment Division </v>
      </c>
      <c r="S310" t="str">
        <f>IFERROR(VLOOKUP($I310,[1]DB2!$F$2:$I$58,4,0),"옛날 부서명 확인")</f>
        <v xml:space="preserve">Environmental Assessment Group </v>
      </c>
    </row>
    <row r="311">
      <c r="B311" t="str">
        <v>일반사업</v>
      </c>
      <c r="C311" t="str">
        <v>GP2026-11</v>
      </c>
      <c r="D311" t="str">
        <v>Post 미세먼지·기후위기 시대의 딜레마, 고농도 오존 대응 전략</v>
      </c>
      <c r="F311" t="str">
        <v>10260</v>
      </c>
      <c r="G311" t="str">
        <v>이승민</v>
      </c>
      <c r="H311" t="str">
        <v>202508187</v>
      </c>
      <c r="I311" t="str">
        <v>대기환경연구실</v>
      </c>
      <c r="J311">
        <v>215000000</v>
      </c>
      <c r="K311" s="1" t="d">
        <v>2025-12-31T23:59:08.000Z</v>
      </c>
      <c r="L311" s="1" t="d">
        <v>2026-12-30T23:59:08.000Z</v>
      </c>
      <c r="N311" t="str">
        <v>Strategies for Coping with High Ozone Concentrations in the Post-PM2.5 and Climate Crisis Era</v>
      </c>
      <c r="O311" t="str">
        <f>IFERROR(VLOOKUP($G311,[1]DB2!$A:$B,2,0),"공동과책 확인")</f>
        <v>Lee, Seungmin</v>
      </c>
      <c r="P311" t="str">
        <v>Atmospheric Environment</v>
      </c>
      <c r="Q311" t="str">
        <v>Environmental Health</v>
      </c>
      <c r="R311" t="str">
        <f>IFERROR(VLOOKUP($I311,[1]DB2!$F$2:$I$58,2,0),"옛날 부서명 확인")</f>
        <v>Atmospheric Environment Division</v>
      </c>
      <c r="S311" t="str">
        <f>IFERROR(VLOOKUP($I311,[1]DB2!$F$2:$I$58,4,0),"옛날 부서명 확인")</f>
        <v xml:space="preserve">Climate and Atmospheric Strategy Research Group  </v>
      </c>
    </row>
    <row r="312">
      <c r="B312" t="str">
        <v>일반사업</v>
      </c>
      <c r="C312" t="str">
        <v>GP2026-12</v>
      </c>
      <c r="D312" t="str">
        <v>해상풍력사업의 환경영향평가 면제에 따른 지속가능한 환경성 평가 방안 연구</v>
      </c>
      <c r="F312" t="str">
        <v>10227</v>
      </c>
      <c r="G312" t="str">
        <v>김태윤</v>
      </c>
      <c r="H312" t="str">
        <v>202508165</v>
      </c>
      <c r="I312" t="str">
        <v>기후에너지평가실</v>
      </c>
      <c r="J312">
        <v>215000000</v>
      </c>
      <c r="K312" s="1" t="d">
        <v>2025-12-31T23:59:08.000Z</v>
      </c>
      <c r="L312" s="1" t="d">
        <v>2026-12-30T23:59:08.000Z</v>
      </c>
      <c r="N312" t="str">
        <v>A Study on Sustainable Environmental Assessment Measures Following the Exemption of Environmental Impact Assessment for Offshore Wind Projects</v>
      </c>
      <c r="O312" t="str">
        <f>IFERROR(VLOOKUP($G312,[1]DB2!$A:$B,2,0),"공동과책 확인")</f>
        <v>Kim, Taeyun</v>
      </c>
      <c r="P312" t="str">
        <v>Environmental Assessment</v>
      </c>
      <c r="Q312" t="str">
        <v>Carbon Neutrality and Energy</v>
      </c>
      <c r="R312" t="str">
        <f>IFERROR(VLOOKUP($I312,[1]DB2!$F$2:$I$58,2,0),"옛날 부서명 확인")</f>
        <v xml:space="preserve">Climate and Energy Assessment Division </v>
      </c>
      <c r="S312" t="str">
        <f>IFERROR(VLOOKUP($I312,[1]DB2!$F$2:$I$58,4,0),"옛날 부서명 확인")</f>
        <v xml:space="preserve">Environmental Assessment Group </v>
      </c>
    </row>
    <row r="313">
      <c r="B313" t="str">
        <v>일반사업</v>
      </c>
      <c r="C313" t="str">
        <v>GP2026-13</v>
      </c>
      <c r="D313" t="str">
        <v>녹색경제협동연구</v>
      </c>
      <c r="F313" t="str">
        <v>10236</v>
      </c>
      <c r="G313" t="str">
        <v>서양원</v>
      </c>
      <c r="H313" t="str">
        <v>202508178</v>
      </c>
      <c r="I313" t="str">
        <v>지속가능발전연구본부</v>
      </c>
      <c r="J313">
        <v>140000000</v>
      </c>
      <c r="K313" s="1" t="d">
        <v>2025-12-31T23:59:08.000Z</v>
      </c>
      <c r="L313" s="1" t="d">
        <v>2026-12-30T23:59:08.000Z</v>
      </c>
      <c r="N313" t="str">
        <v>Collaborative Research on the Green Economy</v>
      </c>
      <c r="O313" t="str">
        <f>IFERROR(VLOOKUP($G313,[1]DB2!$A:$B,2,0),"공동과책 확인")</f>
        <v>Suh, Yang-won</v>
      </c>
      <c r="P313" t="str">
        <v>Environmental Economics</v>
      </c>
      <c r="Q313" t="str">
        <v>Sustainable Development</v>
      </c>
      <c r="R313" t="str">
        <f>IFERROR(VLOOKUP($I313,[1]DB2!$F$2:$I$58,2,0),"옛날 부서명 확인")</f>
        <v xml:space="preserve">Sustainable Development Research Group  </v>
      </c>
      <c r="S313" t="str">
        <f>IFERROR(VLOOKUP($I313,[1]DB2!$F$2:$I$58,4,0),"옛날 부서명 확인")</f>
        <v xml:space="preserve">Sustainable Development Research Group  </v>
      </c>
    </row>
    <row r="314">
      <c r="B314" t="str">
        <v>기본과제</v>
      </c>
      <c r="C314" t="str">
        <v>RE2026-01</v>
      </c>
      <c r="D314" t="str">
        <v>비도시지역 친환경적 관리를 위한 성장관리계획 개선방안 연구</v>
      </c>
      <c r="F314" t="str">
        <v>10116</v>
      </c>
      <c r="G314" t="str">
        <v>주용준</v>
      </c>
      <c r="H314" t="str">
        <v>202508165</v>
      </c>
      <c r="I314" t="str">
        <v>기후에너지평가실</v>
      </c>
      <c r="J314">
        <v>35000000</v>
      </c>
      <c r="K314" s="1" t="d">
        <v>2025-12-31T23:59:08.000Z</v>
      </c>
      <c r="L314" s="1" t="d">
        <v>2026-12-30T23:59:08.000Z</v>
      </c>
      <c r="N314" t="str">
        <v>Strategies to Improve Growth Management Plans for Enhancing Eco-friendly Management in Non-urban Regions</v>
      </c>
      <c r="O314" t="str">
        <f>IFERROR(VLOOKUP($G314,[1]DB2!$A:$B,2,0),"공동과책 확인")</f>
        <v>Joo, Yong-Joon</v>
      </c>
      <c r="P314" t="str">
        <v>Land and Urban Environment</v>
      </c>
      <c r="Q314" t="str">
        <v>Sustainable Development</v>
      </c>
      <c r="R314" t="str">
        <f>IFERROR(VLOOKUP($I314,[1]DB2!$F$2:$I$58,2,0),"옛날 부서명 확인")</f>
        <v xml:space="preserve">Climate and Energy Assessment Division </v>
      </c>
      <c r="S314" t="str">
        <f>IFERROR(VLOOKUP($I314,[1]DB2!$F$2:$I$58,4,0),"옛날 부서명 확인")</f>
        <v xml:space="preserve">Environmental Assessment Group </v>
      </c>
    </row>
    <row r="315">
      <c r="B315" t="str">
        <v>기본과제</v>
      </c>
      <c r="C315" t="str">
        <v>RE2026-02</v>
      </c>
      <c r="D315" t="str">
        <v>플라스틱 제품·포장재의 디지털제품여권(DPP) 기반 구축 방안 연구</v>
      </c>
      <c r="F315" t="str">
        <v>10273</v>
      </c>
      <c r="G315" t="str">
        <v>이소라</v>
      </c>
      <c r="H315" t="str">
        <v>202508204</v>
      </c>
      <c r="I315" t="str">
        <v>순환경제연구실</v>
      </c>
      <c r="J315">
        <v>35000000</v>
      </c>
      <c r="K315" s="1" t="d">
        <v>2025-12-31T23:59:08.000Z</v>
      </c>
      <c r="L315" s="1" t="d">
        <v>2026-10-30T23:59:08.000Z</v>
      </c>
      <c r="N315" t="str">
        <v>Establishing a Foundation for Digital Product Passports (DPP) for Plastic Products and Packaging</v>
      </c>
      <c r="O315" t="str">
        <f>IFERROR(VLOOKUP($G315,[1]DB2!$A:$B,2,0),"공동과책 확인")</f>
        <v xml:space="preserve">Yi, Sora </v>
      </c>
      <c r="P315" t="str">
        <v>Circular Economy</v>
      </c>
      <c r="Q315" t="str">
        <v>AI and Environmental Informatics</v>
      </c>
      <c r="R315" t="str">
        <f>IFERROR(VLOOKUP($I315,[1]DB2!$F$2:$I$58,2,0),"옛날 부서명 확인")</f>
        <v xml:space="preserve">Circular Economy Division </v>
      </c>
      <c r="S315" t="str">
        <f>IFERROR(VLOOKUP($I315,[1]DB2!$F$2:$I$58,4,0),"옛날 부서명 확인")</f>
        <v xml:space="preserve">Sustainable Development Research Group  </v>
      </c>
    </row>
    <row r="316">
      <c r="B316" t="str">
        <v>기본과제</v>
      </c>
      <c r="C316" t="str">
        <v>RE2026-03</v>
      </c>
      <c r="D316" t="str">
        <v>생활 속 인간-야생생물 갈등 관리 개선 방안 연구 (II) : 갈등 지수 개발 및 활용</v>
      </c>
      <c r="F316" t="str">
        <v>10164</v>
      </c>
      <c r="G316" t="str">
        <v>홍현정</v>
      </c>
      <c r="H316" t="str">
        <v>202508192</v>
      </c>
      <c r="I316" t="str">
        <v>자연환경연구실</v>
      </c>
      <c r="J316">
        <v>30000000</v>
      </c>
      <c r="K316" s="1" t="d">
        <v>2025-12-31T23:59:08.000Z</v>
      </c>
      <c r="L316" s="1" t="d">
        <v>2026-10-30T23:59:08.000Z</v>
      </c>
      <c r="N316" t="str">
        <v>Policy Improvements for Managing Human–Wildlife Conflicts in Daily Life (Phase 2): Development and Application of a Conflict Index</v>
      </c>
      <c r="O316" t="str">
        <f>IFERROR(VLOOKUP($G316,[1]DB2!$A:$B,2,0),"공동과책 확인")</f>
        <v>Hong, Hyunjung</v>
      </c>
      <c r="P316" t="str">
        <v>Ecology</v>
      </c>
      <c r="Q316" t="str">
        <v>Socio-Environmental Interface</v>
      </c>
      <c r="R316" t="str">
        <f>IFERROR(VLOOKUP($I316,[1]DB2!$F$2:$I$58,2,0),"옛날 부서명 확인")</f>
        <v xml:space="preserve">Natural Environment Division </v>
      </c>
      <c r="S316" t="str">
        <f>IFERROR(VLOOKUP($I316,[1]DB2!$F$2:$I$58,4,0),"옛날 부서명 확인")</f>
        <v xml:space="preserve">Land and Environment Research Group </v>
      </c>
    </row>
    <row r="317">
      <c r="B317" t="str">
        <v>기본과제</v>
      </c>
      <c r="C317" t="str">
        <v>RE2026-04</v>
      </c>
      <c r="D317" t="str">
        <v>수용체 중심 환경보건정책의 생태적 확장 기반 마련 연구</v>
      </c>
      <c r="F317" t="str">
        <v>10297</v>
      </c>
      <c r="G317" t="str">
        <v>정다운</v>
      </c>
      <c r="H317" t="str">
        <v>202508119</v>
      </c>
      <c r="I317" t="str">
        <v>환경보건연구실</v>
      </c>
      <c r="J317">
        <v>30000000</v>
      </c>
      <c r="K317" s="1" t="d">
        <v>2025-12-31T23:59:08.000Z</v>
      </c>
      <c r="L317" s="1" t="d">
        <v>2026-10-30T23:59:08.000Z</v>
      </c>
      <c r="N317" t="str">
        <v>Laying the Groundwork for Integrating Ecological Perspectives into Receptor-Oriented Environmental Health Policy</v>
      </c>
      <c r="O317" t="str">
        <f>IFERROR(VLOOKUP($G317,[1]DB2!$A:$B,2,0),"공동과책 확인")</f>
        <v xml:space="preserve">Jung, Dawoon </v>
      </c>
      <c r="P317" t="str">
        <v>Environmental Health</v>
      </c>
      <c r="Q317" t="str">
        <v>Ecology</v>
      </c>
      <c r="R317" t="str">
        <f>IFERROR(VLOOKUP($I317,[1]DB2!$F$2:$I$58,2,0),"옛날 부서명 확인")</f>
        <v xml:space="preserve">Environmental Health Division </v>
      </c>
      <c r="S317" t="str">
        <f>IFERROR(VLOOKUP($I317,[1]DB2!$F$2:$I$58,4,0),"옛날 부서명 확인")</f>
        <v xml:space="preserve">Sustainable Development Research Group  </v>
      </c>
    </row>
    <row r="318">
      <c r="B318" t="str">
        <v>기본과제</v>
      </c>
      <c r="C318" t="str">
        <v>RE2026-05</v>
      </c>
      <c r="D318" t="str">
        <v>기후 및 신규 물수요 대응을 위한 댐용수 사용 효율성 개선 연구</v>
      </c>
      <c r="F318" t="str">
        <v>10205</v>
      </c>
      <c r="G318" t="str">
        <v>강형식</v>
      </c>
      <c r="H318" t="str">
        <v>202508182</v>
      </c>
      <c r="I318" t="str">
        <v>국토환경연구본부</v>
      </c>
      <c r="J318">
        <v>35000000</v>
      </c>
      <c r="K318" s="1" t="d">
        <v>2025-12-31T23:59:08.000Z</v>
      </c>
      <c r="L318" s="1" t="d">
        <v>2026-12-30T23:59:08.000Z</v>
      </c>
      <c r="N318" t="str">
        <v>Enhancing the Efficiency of Dam Water Use in Response to Climate Change and New Water Demands</v>
      </c>
      <c r="O318" t="str">
        <f>IFERROR(VLOOKUP($G318,[1]DB2!$A:$B,2,0),"공동과책 확인")</f>
        <v>Kang, Hyeongsik</v>
      </c>
      <c r="P318" t="str">
        <v>Water Management</v>
      </c>
      <c r="Q318" t="str">
        <v>Climate Adaptation</v>
      </c>
      <c r="R318" t="str">
        <f>IFERROR(VLOOKUP($I318,[1]DB2!$F$2:$I$58,2,0),"옛날 부서명 확인")</f>
        <v xml:space="preserve">Land and Environment Research Group </v>
      </c>
      <c r="S318" t="str">
        <f>IFERROR(VLOOKUP($I318,[1]DB2!$F$2:$I$58,4,0),"옛날 부서명 확인")</f>
        <v xml:space="preserve">Land and Environment Research Group </v>
      </c>
    </row>
    <row r="319">
      <c r="B319" t="str">
        <v>기본과제</v>
      </c>
      <c r="C319" t="str">
        <v>RE2026-06</v>
      </c>
      <c r="D319" t="str">
        <v>환경평가 실효성 제고를 위한 소음평가기준의 합리적 조정방안 마련</v>
      </c>
      <c r="F319" t="str">
        <v>10145</v>
      </c>
      <c r="G319" t="str">
        <v>선효성</v>
      </c>
      <c r="H319" t="str">
        <v>202508165</v>
      </c>
      <c r="I319" t="str">
        <v>기후에너지평가실</v>
      </c>
      <c r="J319">
        <v>30000000</v>
      </c>
      <c r="K319" s="1" t="d">
        <v>2025-12-31T23:59:08.000Z</v>
      </c>
      <c r="L319" s="1" t="d">
        <v>2026-10-30T23:59:08.000Z</v>
      </c>
      <c r="N319" t="str">
        <v>Developing Measures to Rationalize Noise Assessment Standards for Improved Environmental Assessment Performance</v>
      </c>
      <c r="O319" t="str">
        <f>IFERROR(VLOOKUP($G319,[1]DB2!$A:$B,2,0),"공동과책 확인")</f>
        <v>Sun, Hyosung</v>
      </c>
      <c r="P319" t="str">
        <v>Environmental Assessment</v>
      </c>
      <c r="Q319" t="str">
        <v>Socio-Environmental Interface</v>
      </c>
      <c r="R319" t="str">
        <f>IFERROR(VLOOKUP($I319,[1]DB2!$F$2:$I$58,2,0),"옛날 부서명 확인")</f>
        <v xml:space="preserve">Climate and Energy Assessment Division </v>
      </c>
      <c r="S319" t="str">
        <f>IFERROR(VLOOKUP($I319,[1]DB2!$F$2:$I$58,4,0),"옛날 부서명 확인")</f>
        <v xml:space="preserve">Environmental Assessment Group </v>
      </c>
    </row>
    <row r="320">
      <c r="B320" t="str">
        <v>기본과제</v>
      </c>
      <c r="C320" t="str">
        <v>RE2026-07</v>
      </c>
      <c r="D320" t="str">
        <v>배출권 수급 전망 기반의 효과적인 배출권거래제 운영전략 연구</v>
      </c>
      <c r="F320" t="str">
        <v>10334</v>
      </c>
      <c r="G320" t="str">
        <v>최형식</v>
      </c>
      <c r="H320" t="str">
        <v>202508197</v>
      </c>
      <c r="I320" t="str">
        <v>탄소중립연구실</v>
      </c>
      <c r="J320">
        <v>30000000</v>
      </c>
      <c r="K320" s="1" t="d">
        <v>2025-12-31T23:59:08.000Z</v>
      </c>
      <c r="L320" s="1" t="d">
        <v>2026-10-30T23:59:08.000Z</v>
      </c>
      <c r="N320" t="str">
        <v>Operational Strategies for the Emissions Trading Scheme (ETS) Based on Supply and Demand Outlook of Emission Allowances</v>
      </c>
      <c r="O320" t="str">
        <f>IFERROR(VLOOKUP($G320,[1]DB2!$A:$B,2,0),"공동과책 확인")</f>
        <v>Choi, Hyungsik</v>
      </c>
      <c r="P320" t="str">
        <v>Carbon Neutrality and Energy</v>
      </c>
      <c r="Q320" t="str">
        <v>Environmental Economics</v>
      </c>
      <c r="R320" t="str">
        <f>IFERROR(VLOOKUP($I320,[1]DB2!$F$2:$I$58,2,0),"옛날 부서명 확인")</f>
        <v xml:space="preserve">Carbon Neutrality Division </v>
      </c>
      <c r="S320" t="str">
        <f>IFERROR(VLOOKUP($I320,[1]DB2!$F$2:$I$58,4,0),"옛날 부서명 확인")</f>
        <v xml:space="preserve">Climate and Atmospheric Strategy Research Group  </v>
      </c>
    </row>
    <row r="321">
      <c r="B321" t="str">
        <v>기본과제</v>
      </c>
      <c r="C321" t="str">
        <v>RE2026-08</v>
      </c>
      <c r="D321" t="str">
        <v>자동차 산업의 글로벌 경쟁력 강화를 위한 디지털 순환경제 전략 연구</v>
      </c>
      <c r="F321" t="str">
        <v>10221</v>
      </c>
      <c r="G321" t="str">
        <v>조지혜</v>
      </c>
      <c r="H321" t="str">
        <v>202508204</v>
      </c>
      <c r="I321" t="str">
        <v>순환경제연구실</v>
      </c>
      <c r="J321">
        <v>30000000</v>
      </c>
      <c r="K321" s="1" t="d">
        <v>2025-12-31T23:59:08.000Z</v>
      </c>
      <c r="L321" s="1" t="d">
        <v>2026-10-30T23:59:08.000Z</v>
      </c>
      <c r="N321" t="str">
        <v>Digital Circular Economy Strategies to Strengthen the Global Competitiveness of the Automotive Industry</v>
      </c>
      <c r="O321" t="str">
        <f>IFERROR(VLOOKUP($G321,[1]DB2!$A:$B,2,0),"공동과책 확인")</f>
        <v>Jo, Ji Hye</v>
      </c>
      <c r="P321" t="str">
        <v>Circular Economy</v>
      </c>
      <c r="R321" t="str">
        <f>IFERROR(VLOOKUP($I321,[1]DB2!$F$2:$I$58,2,0),"옛날 부서명 확인")</f>
        <v xml:space="preserve">Circular Economy Division </v>
      </c>
      <c r="S321" t="str">
        <f>IFERROR(VLOOKUP($I321,[1]DB2!$F$2:$I$58,4,0),"옛날 부서명 확인")</f>
        <v xml:space="preserve">Sustainable Development Research Group  </v>
      </c>
    </row>
    <row r="322">
      <c r="B322" t="str">
        <v>기본과제</v>
      </c>
      <c r="C322" t="str">
        <v>RE2026-09</v>
      </c>
      <c r="D322" t="str">
        <v>국가 기후적응 진전 추적(progress tracking) 지표 개발 연구</v>
      </c>
      <c r="F322" t="str">
        <v>10158</v>
      </c>
      <c r="G322" t="str">
        <v>신지영</v>
      </c>
      <c r="H322" t="str">
        <v>202508124</v>
      </c>
      <c r="I322" t="str">
        <v>기후적응정책실</v>
      </c>
      <c r="J322">
        <v>30000000</v>
      </c>
      <c r="K322" s="1" t="d">
        <v>2025-12-31T23:59:08.000Z</v>
      </c>
      <c r="L322" s="1" t="d">
        <v>2026-10-30T23:59:08.000Z</v>
      </c>
      <c r="N322" t="str">
        <v>Developing Indicators for Tracking Progress in National Climate Change Adaptation</v>
      </c>
      <c r="O322" t="str">
        <f>IFERROR(VLOOKUP($G322,[1]DB2!$A:$B,2,0),"공동과책 확인")</f>
        <v>Shin, Jiyoung</v>
      </c>
      <c r="P322" t="str">
        <v>Climate Adaptation</v>
      </c>
      <c r="R322" t="str">
        <f>IFERROR(VLOOKUP($I322,[1]DB2!$F$2:$I$58,2,0),"옛날 부서명 확인")</f>
        <v xml:space="preserve">Climate Adaptation Policy Division </v>
      </c>
      <c r="S322" t="str">
        <f>IFERROR(VLOOKUP($I322,[1]DB2!$F$2:$I$58,4,0),"옛날 부서명 확인")</f>
        <v xml:space="preserve">Korea Adaptation Center for Climate Change </v>
      </c>
    </row>
    <row r="323">
      <c r="B323" t="str">
        <v>기본과제</v>
      </c>
      <c r="C323" t="str">
        <v>RE2026-10</v>
      </c>
      <c r="D323" t="str">
        <v>순환경제 고도화를 위한 「Advanced-EPR」도입 방안 연구</v>
      </c>
      <c r="F323" t="str">
        <v>10351</v>
      </c>
      <c r="G323" t="str">
        <v>박지환</v>
      </c>
      <c r="H323" t="str">
        <v>202508204</v>
      </c>
      <c r="I323" t="str">
        <v>순환경제연구실</v>
      </c>
      <c r="J323">
        <v>30000000</v>
      </c>
      <c r="K323" s="1" t="d">
        <v>2025-12-31T23:59:08.000Z</v>
      </c>
      <c r="L323" s="1" t="d">
        <v>2026-10-30T23:59:08.000Z</v>
      </c>
      <c r="N323" t="str">
        <v>Strategies for Implementing an "Advanced-EPR" System to Enhance the Circular Economy</v>
      </c>
      <c r="O323" t="str">
        <f>IFERROR(VLOOKUP($G323,[1]DB2!$A:$B,2,0),"공동과책 확인")</f>
        <v>Park, Jihwan</v>
      </c>
      <c r="P323" t="str">
        <v>Circular Economy</v>
      </c>
      <c r="Q323" t="str">
        <v>Environmental Economics</v>
      </c>
      <c r="R323" t="str">
        <f>IFERROR(VLOOKUP($I323,[1]DB2!$F$2:$I$58,2,0),"옛날 부서명 확인")</f>
        <v xml:space="preserve">Circular Economy Division </v>
      </c>
      <c r="S323" t="str">
        <f>IFERROR(VLOOKUP($I323,[1]DB2!$F$2:$I$58,4,0),"옛날 부서명 확인")</f>
        <v xml:space="preserve">Sustainable Development Research Group  </v>
      </c>
    </row>
    <row r="324">
      <c r="B324" t="str">
        <v>기본과제</v>
      </c>
      <c r="C324" t="str">
        <v>RE2026-11</v>
      </c>
      <c r="D324" t="str">
        <v>수송 부문 탄소중립 이행에 따른 정의로운 전환 방안 연구</v>
      </c>
      <c r="F324" t="str">
        <v>10327</v>
      </c>
      <c r="G324" t="str">
        <v>김성진</v>
      </c>
      <c r="H324" t="str">
        <v>202508197</v>
      </c>
      <c r="I324" t="str">
        <v>탄소중립연구실</v>
      </c>
      <c r="J324">
        <v>35000000</v>
      </c>
      <c r="K324" s="1" t="d">
        <v>2025-12-31T23:59:08.000Z</v>
      </c>
      <c r="L324" s="1" t="d">
        <v>2026-10-30T23:59:08.000Z</v>
      </c>
      <c r="N324" t="str">
        <v>Strategies for a Just Transition Toward Carbon Neutrality in the Transportation Sector</v>
      </c>
      <c r="O324" t="str">
        <f>IFERROR(VLOOKUP($G324,[1]DB2!$A:$B,2,0),"공동과책 확인")</f>
        <v>Kim, Sungjin</v>
      </c>
      <c r="P324" t="str">
        <v>Carbon Neutrality and Energy</v>
      </c>
      <c r="Q324" t="str">
        <v>Socio-Environmental Interface</v>
      </c>
      <c r="R324" t="str">
        <f>IFERROR(VLOOKUP($I324,[1]DB2!$F$2:$I$58,2,0),"옛날 부서명 확인")</f>
        <v xml:space="preserve">Carbon Neutrality Division </v>
      </c>
      <c r="S324" t="str">
        <f>IFERROR(VLOOKUP($I324,[1]DB2!$F$2:$I$58,4,0),"옛날 부서명 확인")</f>
        <v xml:space="preserve">Climate and Atmospheric Strategy Research Group  </v>
      </c>
    </row>
    <row r="325">
      <c r="B325" t="str">
        <v>기본과제</v>
      </c>
      <c r="C325" t="str">
        <v>RE2026-12</v>
      </c>
      <c r="D325" t="str">
        <v>폐기물 처리시설의 건강영향을 고려한 사회적 비용 추정 연구</v>
      </c>
      <c r="F325" t="str">
        <v>10325</v>
      </c>
      <c r="G325" t="str">
        <v>박주영</v>
      </c>
      <c r="H325" t="str">
        <v>202508189</v>
      </c>
      <c r="I325" t="str">
        <v>생활환경사회연구실</v>
      </c>
      <c r="J325">
        <v>30000000</v>
      </c>
      <c r="K325" s="1" t="d">
        <v>2025-12-31T23:59:08.000Z</v>
      </c>
      <c r="L325" s="1" t="d">
        <v>2026-10-30T23:59:08.000Z</v>
      </c>
      <c r="N325" t="str">
        <v>Estimating the Social Costs of Waste Treatment Facilities Based on Health Risk Assessments</v>
      </c>
      <c r="O325" t="str">
        <f>IFERROR(VLOOKUP($G325,[1]DB2!$A:$B,2,0),"공동과책 확인")</f>
        <v xml:space="preserve">Park, Juyoung </v>
      </c>
      <c r="P325" t="str">
        <v>Environmental Economics</v>
      </c>
      <c r="Q325" t="str">
        <v>Environmental Health</v>
      </c>
      <c r="R325" t="str">
        <f>IFERROR(VLOOKUP($I325,[1]DB2!$F$2:$I$58,2,0),"옛날 부서명 확인")</f>
        <v xml:space="preserve">Living Environment and Society Division </v>
      </c>
      <c r="S325" t="str">
        <f>IFERROR(VLOOKUP($I325,[1]DB2!$F$2:$I$58,4,0),"옛날 부서명 확인")</f>
        <v xml:space="preserve">Sustainable Development Research Group  </v>
      </c>
    </row>
    <row r="326">
      <c r="B326" t="str">
        <v>기본과제</v>
      </c>
      <c r="C326" t="str">
        <v>RE2026-13</v>
      </c>
      <c r="D326" t="str">
        <v>물공급 취약지역의 하수처리수 재이용 촉진을 위한 국가 역할 및 지원 방안 연구</v>
      </c>
      <c r="F326" t="str">
        <v>10318</v>
      </c>
      <c r="G326" t="str">
        <v>이문환</v>
      </c>
      <c r="H326" t="str">
        <v>202508190</v>
      </c>
      <c r="I326" t="str">
        <v>물관리연구실</v>
      </c>
      <c r="J326">
        <v>30000000</v>
      </c>
      <c r="K326" s="1" t="d">
        <v>2025-12-31T23:59:08.000Z</v>
      </c>
      <c r="L326" s="1" t="d">
        <v>2026-12-30T23:59:08.000Z</v>
      </c>
      <c r="N326" t="str">
        <v>Enhancing National Support and Policy Roles for Promoting Wastewater Reclamation and Reuse in Water-scarce Areas</v>
      </c>
      <c r="O326" t="str">
        <f>IFERROR(VLOOKUP($G326,[1]DB2!$A:$B,2,0),"공동과책 확인")</f>
        <v>Lee, Moonhwan</v>
      </c>
      <c r="P326" t="str">
        <v>Water Management</v>
      </c>
      <c r="R326" t="str">
        <f>IFERROR(VLOOKUP($I326,[1]DB2!$F$2:$I$58,2,0),"옛날 부서명 확인")</f>
        <v xml:space="preserve">Water Management Division </v>
      </c>
      <c r="S326" t="str">
        <f>IFERROR(VLOOKUP($I326,[1]DB2!$F$2:$I$58,4,0),"옛날 부서명 확인")</f>
        <v xml:space="preserve">Land and Environment Research Group </v>
      </c>
    </row>
    <row r="327">
      <c r="B327" t="str">
        <v>기본과제</v>
      </c>
      <c r="C327" t="str">
        <v>RE2026-14</v>
      </c>
      <c r="D327" t="str">
        <v>수생태계 보전을 위한 생태하천복원사업 추진 전략 및 체계 개선 연구</v>
      </c>
      <c r="F327" t="str">
        <v>10360</v>
      </c>
      <c r="G327" t="str">
        <v>김효겸</v>
      </c>
      <c r="H327" t="str">
        <v>202508207</v>
      </c>
      <c r="I327" t="str">
        <v>환경자원평가실</v>
      </c>
      <c r="J327">
        <v>30000000</v>
      </c>
      <c r="K327" s="1" t="d">
        <v>2025-12-31T23:59:08.000Z</v>
      </c>
      <c r="L327" s="1" t="d">
        <v>2026-10-30T23:59:08.000Z</v>
      </c>
      <c r="N327" t="str">
        <v>Improving Strategies and Frameworks for Ecological River Restoration Projects to Conserve Aquatic Ecosystems</v>
      </c>
      <c r="O327" t="str">
        <f>IFERROR(VLOOKUP($G327,[1]DB2!$A:$B,2,0),"공동과책 확인")</f>
        <v>Kim, Hyo Gyeom</v>
      </c>
      <c r="P327" t="str">
        <v>Ecology</v>
      </c>
      <c r="Q327" t="str">
        <v>Water Management</v>
      </c>
      <c r="R327" t="str">
        <f>IFERROR(VLOOKUP($I327,[1]DB2!$F$2:$I$58,2,0),"옛날 부서명 확인")</f>
        <v xml:space="preserve">Environmental Resources Assessment Division </v>
      </c>
      <c r="S327" t="str">
        <f>IFERROR(VLOOKUP($I327,[1]DB2!$F$2:$I$58,4,0),"옛날 부서명 확인")</f>
        <v xml:space="preserve">Environmental Assessment Group </v>
      </c>
    </row>
    <row r="328">
      <c r="B328" t="str">
        <v>기본과제</v>
      </c>
      <c r="C328" t="str">
        <v>RE2026-15</v>
      </c>
      <c r="D328" t="str">
        <v>섬 생물다양성 평가 및 공간기반 보전전략 연구</v>
      </c>
      <c r="F328" t="str">
        <v>10352</v>
      </c>
      <c r="G328" t="str">
        <v>허남주</v>
      </c>
      <c r="H328" t="str">
        <v>202508165</v>
      </c>
      <c r="I328" t="str">
        <v>기후에너지평가실</v>
      </c>
      <c r="J328">
        <v>30000000</v>
      </c>
      <c r="K328" s="1" t="d">
        <v>2025-12-31T23:59:08.000Z</v>
      </c>
      <c r="L328" s="1" t="d">
        <v>2026-10-30T23:59:08.000Z</v>
      </c>
      <c r="N328" t="str">
        <v>Biodiversity Assessment and Spatial Conservation Strategies for Islands</v>
      </c>
      <c r="O328" t="str">
        <f>IFERROR(VLOOKUP($G328,[1]DB2!$A:$B,2,0),"공동과책 확인")</f>
        <v xml:space="preserve">Heo, Namjoo </v>
      </c>
      <c r="P328" t="str">
        <v>Ecology</v>
      </c>
      <c r="Q328" t="str">
        <v>Land and Urban Environment</v>
      </c>
      <c r="R328" t="str">
        <f>IFERROR(VLOOKUP($I328,[1]DB2!$F$2:$I$58,2,0),"옛날 부서명 확인")</f>
        <v xml:space="preserve">Climate and Energy Assessment Division </v>
      </c>
      <c r="S328" t="str">
        <f>IFERROR(VLOOKUP($I328,[1]DB2!$F$2:$I$58,4,0),"옛날 부서명 확인")</f>
        <v xml:space="preserve">Environmental Assessment Group </v>
      </c>
    </row>
    <row r="329">
      <c r="B329" t="str">
        <v>기본과제</v>
      </c>
      <c r="C329" t="str">
        <v>RE2026-16</v>
      </c>
      <c r="D329" t="str">
        <v>환경영향평가서 검토</v>
      </c>
      <c r="F329" t="str">
        <v>10152</v>
      </c>
      <c r="G329" t="str">
        <v>이상범</v>
      </c>
      <c r="H329" t="str">
        <v>202508102</v>
      </c>
      <c r="I329" t="str">
        <v>환경평가본부</v>
      </c>
      <c r="J329">
        <v>80016000</v>
      </c>
      <c r="K329" s="1" t="d">
        <v>2025-12-31T23:59:08.000Z</v>
      </c>
      <c r="L329" s="1" t="d">
        <v>2026-12-30T23:59:08.000Z</v>
      </c>
      <c r="N329" t="str">
        <v>Environmental Impact Assessment Review</v>
      </c>
      <c r="O329" t="str">
        <f>IFERROR(VLOOKUP($G329,[1]DB2!$A:$B,2,0),"공동과책 확인")</f>
        <v>Lee, Sangbum</v>
      </c>
      <c r="P329" t="str">
        <v>Environmental Assessment</v>
      </c>
      <c r="R329" t="str">
        <f>IFERROR(VLOOKUP($I329,[1]DB2!$F$2:$I$58,2,0),"옛날 부서명 확인")</f>
        <v xml:space="preserve">Environmental Assessment Group </v>
      </c>
      <c r="S329" t="str">
        <f>IFERROR(VLOOKUP($I329,[1]DB2!$F$2:$I$58,4,0),"옛날 부서명 확인")</f>
        <v xml:space="preserve">Environmental Assessment Group </v>
      </c>
    </row>
    <row r="330">
      <c r="B330" t="str">
        <v>기본과제</v>
      </c>
      <c r="C330" t="str">
        <v>RE2026-17</v>
      </c>
      <c r="D330" t="str">
        <v>전략환경영향평가 검토</v>
      </c>
      <c r="F330" t="str">
        <v>10152</v>
      </c>
      <c r="G330" t="str">
        <v>이상범</v>
      </c>
      <c r="H330" t="str">
        <v>202508102</v>
      </c>
      <c r="I330" t="str">
        <v>환경평가본부</v>
      </c>
      <c r="J330">
        <v>284629000</v>
      </c>
      <c r="K330" s="1" t="d">
        <v>2025-12-31T23:59:08.000Z</v>
      </c>
      <c r="L330" s="1" t="d">
        <v>2026-12-30T23:59:08.000Z</v>
      </c>
      <c r="N330" t="str">
        <v>Strategic Environmental Assessment Review</v>
      </c>
      <c r="O330" t="str">
        <f>IFERROR(VLOOKUP($G330,[1]DB2!$A:$B,2,0),"공동과책 확인")</f>
        <v>Lee, Sangbum</v>
      </c>
      <c r="P330" t="str">
        <v>Environmental Assessment</v>
      </c>
      <c r="R330" t="str">
        <f>IFERROR(VLOOKUP($I330,[1]DB2!$F$2:$I$58,2,0),"옛날 부서명 확인")</f>
        <v xml:space="preserve">Environmental Assessment Group </v>
      </c>
      <c r="S330" t="str">
        <f>IFERROR(VLOOKUP($I330,[1]DB2!$F$2:$I$58,4,0),"옛날 부서명 확인")</f>
        <v xml:space="preserve">Environmental Assessment Group </v>
      </c>
    </row>
    <row r="331">
      <c r="B331" t="str">
        <v>기본과제</v>
      </c>
      <c r="C331" t="str">
        <v>RE2026-18</v>
      </c>
      <c r="D331" t="str">
        <v>기후대기 통합평가모형 개발 연구(IV)</v>
      </c>
      <c r="F331" t="str">
        <v>10200</v>
      </c>
      <c r="G331" t="str">
        <v>심창섭</v>
      </c>
      <c r="H331" t="str">
        <v>202508199</v>
      </c>
      <c r="I331" t="str">
        <v>기후대기전략연구본부</v>
      </c>
      <c r="J331">
        <v>300000000</v>
      </c>
      <c r="K331" s="1" t="d">
        <v>2025-12-31T23:59:08.000Z</v>
      </c>
      <c r="L331" s="1" t="d">
        <v>2026-12-30T23:59:08.000Z</v>
      </c>
      <c r="N331" t="str">
        <v>Development of an Integrated Modeling Framework for Assessing Climate and Air Quality (IV)</v>
      </c>
      <c r="O331" t="str">
        <f>IFERROR(VLOOKUP($G331,[1]DB2!$A:$B,2,0),"공동과책 확인")</f>
        <v>Shim, Changsub</v>
      </c>
      <c r="P331" t="str">
        <v>Atmospheric Environment</v>
      </c>
      <c r="Q331" t="str">
        <v>AI and Environmental Informatics</v>
      </c>
      <c r="R331" t="str">
        <f>IFERROR(VLOOKUP($I331,[1]DB2!$F$2:$I$58,2,0),"옛날 부서명 확인")</f>
        <v xml:space="preserve">Climate and Atmospheric Strategy Research Group  </v>
      </c>
      <c r="S331" t="str">
        <f>IFERROR(VLOOKUP($I331,[1]DB2!$F$2:$I$58,4,0),"옛날 부서명 확인")</f>
        <v xml:space="preserve">Climate and Atmospheric Strategy Research Group  </v>
      </c>
    </row>
    <row r="332">
      <c r="B332" t="str">
        <v>연구개발적립금</v>
      </c>
      <c r="C332" t="str">
        <v>RR2026-01</v>
      </c>
      <c r="D332" t="str">
        <v>산업의 탈탄소 전환을 위한 전환금융 지원 기반 연구</v>
      </c>
      <c r="F332" t="str">
        <v>10292</v>
      </c>
      <c r="G332" t="str">
        <v>김현노</v>
      </c>
      <c r="H332" t="str">
        <v>202508095</v>
      </c>
      <c r="I332" t="str">
        <v>녹색경제연구실</v>
      </c>
      <c r="J332">
        <v>30000000</v>
      </c>
      <c r="K332" s="1" t="d">
        <v>2025-12-31T23:59:08.000Z</v>
      </c>
      <c r="L332" s="1" t="d">
        <v>2026-12-30T23:59:08.000Z</v>
      </c>
      <c r="N332" t="str">
        <v>A Study on Establishing a Framework for Transition Finance to Facilitate Industrial Decarbonization</v>
      </c>
      <c r="O332" t="str">
        <f>IFERROR(VLOOKUP($G332,[1]DB2!$A:$B,2,0),"공동과책 확인")</f>
        <v>Kim, Hyunno</v>
      </c>
      <c r="P332" t="str">
        <v>Environmental Economics</v>
      </c>
      <c r="Q332" t="str">
        <v>Carbon Neutrality and Energy</v>
      </c>
      <c r="R332" t="str">
        <f>IFERROR(VLOOKUP($I332,[1]DB2!$F$2:$I$58,2,0),"옛날 부서명 확인")</f>
        <v xml:space="preserve">Green Economy Division </v>
      </c>
      <c r="S332" t="str">
        <f>IFERROR(VLOOKUP($I332,[1]DB2!$F$2:$I$58,4,0),"옛날 부서명 확인")</f>
        <v xml:space="preserve">Climate and Atmospheric Strategy Research Group  </v>
      </c>
    </row>
    <row r="333">
      <c r="B333" t="str">
        <v>연구개발적립금</v>
      </c>
      <c r="C333" t="str">
        <v>RR2026-02</v>
      </c>
      <c r="D333" t="str">
        <v>국민안전 강화를 위한 화학물질 전주기 관리(K-CLM) 체계 마련</v>
      </c>
      <c r="F333" t="str">
        <v>10297</v>
      </c>
      <c r="G333" t="str">
        <v>정다운</v>
      </c>
      <c r="H333" t="str">
        <v>202508119</v>
      </c>
      <c r="I333" t="str">
        <v>환경보건연구실</v>
      </c>
      <c r="J333">
        <v>30000000</v>
      </c>
      <c r="K333" s="1" t="d">
        <v>2025-12-31T23:59:08.000Z</v>
      </c>
      <c r="L333" s="1" t="d">
        <v>2026-12-30T23:59:08.000Z</v>
      </c>
      <c r="N333" t="str">
        <v>Establishment of a Korean Chemical Life-cycle Management (K-CLM) System to Strengthen Public Safety</v>
      </c>
      <c r="O333" t="str">
        <f>IFERROR(VLOOKUP($G333,[1]DB2!$A:$B,2,0),"공동과책 확인")</f>
        <v xml:space="preserve">Jung, Dawoon </v>
      </c>
      <c r="P333" t="str">
        <v>Environmental Health</v>
      </c>
      <c r="R333" t="str">
        <f>IFERROR(VLOOKUP($I333,[1]DB2!$F$2:$I$58,2,0),"옛날 부서명 확인")</f>
        <v xml:space="preserve">Environmental Health Division </v>
      </c>
      <c r="S333" t="str">
        <f>IFERROR(VLOOKUP($I333,[1]DB2!$F$2:$I$58,4,0),"옛날 부서명 확인")</f>
        <v xml:space="preserve">Sustainable Development Research Group  </v>
      </c>
    </row>
    <row r="334">
      <c r="B334" t="str">
        <v>연구개발적립금</v>
      </c>
      <c r="C334" t="str">
        <v>RR2026-03</v>
      </c>
      <c r="D334" t="str">
        <v xml:space="preserve">탄소중립·기후적응·재해저감을 연계한 기후탄력적 도시 추진전략 개발 </v>
      </c>
      <c r="F334" t="str">
        <v>10186</v>
      </c>
      <c r="G334" t="str">
        <v>최희선</v>
      </c>
      <c r="H334" t="str">
        <v>202508205</v>
      </c>
      <c r="I334" t="str">
        <v>국토관리연구실</v>
      </c>
      <c r="J334">
        <v>30000000</v>
      </c>
      <c r="K334" s="1" t="d">
        <v>2025-12-31T23:59:08.000Z</v>
      </c>
      <c r="L334" s="1" t="d">
        <v>2026-12-30T23:59:08.000Z</v>
      </c>
      <c r="N334" t="str">
        <v>Developing Strategies for Climate-Resilient Cities by Integrating Carbon Neutrality, Climate Adaptation, and Disaster Risk Reduction</v>
      </c>
      <c r="O334" t="str">
        <f>IFERROR(VLOOKUP($G334,[1]DB2!$A:$B,2,0),"공동과책 확인")</f>
        <v>Choi, Hee-Sun</v>
      </c>
      <c r="P334" t="str">
        <v>Carbon Neutrality and Energy</v>
      </c>
      <c r="Q334" t="str">
        <v>Land and Urban Environment</v>
      </c>
      <c r="R334" t="str">
        <f>IFERROR(VLOOKUP($I334,[1]DB2!$F$2:$I$58,2,0),"옛날 부서명 확인")</f>
        <v>Spatial Planning and Management Division</v>
      </c>
      <c r="S334" t="str">
        <f>IFERROR(VLOOKUP($I334,[1]DB2!$F$2:$I$58,4,0),"옛날 부서명 확인")</f>
        <v xml:space="preserve">Land and Environment Research Group </v>
      </c>
    </row>
    <row r="335">
      <c r="B335" t="str">
        <v>연구지원사업</v>
      </c>
      <c r="C335" t="str">
        <v>SP2026-03</v>
      </c>
      <c r="D335" t="str">
        <v>지속가능발전 연구기관 네트워크(NISD) 운영</v>
      </c>
      <c r="F335" t="str">
        <v>10217</v>
      </c>
      <c r="G335" t="str">
        <v>박준현</v>
      </c>
      <c r="H335" t="str">
        <v>202508198</v>
      </c>
      <c r="I335" t="str">
        <v>글로벌협력팀</v>
      </c>
      <c r="J335">
        <v>90079000</v>
      </c>
      <c r="K335" s="1" t="d">
        <v>2025-12-31T23:59:08.000Z</v>
      </c>
      <c r="L335" s="1" t="d">
        <v>2026-12-30T23:59:08.000Z</v>
      </c>
      <c r="N335" t="str">
        <v>Management of the Network of Institutions for Sustainable Development (NISD)</v>
      </c>
      <c r="O335" t="str">
        <f>IFERROR(VLOOKUP($G335,[1]DB2!$A:$B,2,0),"공동과책 확인")</f>
        <v>Park, Jun Hyun</v>
      </c>
      <c r="P335" t="str">
        <v>Sustainable Development</v>
      </c>
      <c r="Q335" t="str">
        <v>International Environmental Collaboration</v>
      </c>
      <c r="R335" t="str">
        <f>IFERROR(VLOOKUP($I335,[1]DB2!$F$2:$I$58,2,0),"옛날 부서명 확인")</f>
        <v>Global Cooperation Team</v>
      </c>
      <c r="S335" t="str">
        <f>IFERROR(VLOOKUP($I335,[1]DB2!$F$2:$I$58,4,0),"옛날 부서명 확인")</f>
        <v xml:space="preserve">Department of Planning and Strategy </v>
      </c>
    </row>
    <row r="336">
      <c r="B336" t="str">
        <v>수탁과제</v>
      </c>
      <c r="C336" t="str">
        <v>2026-030</v>
      </c>
      <c r="D336" t="str">
        <v>제1차 순환경제기본계획 수립 연구(2차분)</v>
      </c>
      <c r="F336" t="str">
        <v>10221</v>
      </c>
      <c r="G336" t="str">
        <v>조지혜</v>
      </c>
      <c r="H336" t="str">
        <v>202508204</v>
      </c>
      <c r="I336" t="str">
        <v>순환경제연구실</v>
      </c>
      <c r="J336">
        <v>76000000</v>
      </c>
      <c r="K336" s="1" t="d">
        <v>2026-01-13T23:59:08.000Z</v>
      </c>
      <c r="L336" s="1" t="d">
        <v>2026-05-08T23:59:08.000Z</v>
      </c>
      <c r="M336" t="str">
        <v>기후에너지환경부 자원순환정책과</v>
      </c>
      <c r="N336" t="str">
        <v>Establishing the First Master Plan for Circular Economy (Phase 2)</v>
      </c>
      <c r="O336" t="str">
        <f>IFERROR(VLOOKUP($G336,[1]DB2!$A:$B,2,0),"공동과책 확인")</f>
        <v>Jo, Ji Hye</v>
      </c>
      <c r="P336" t="str">
        <v>Circular Economy</v>
      </c>
      <c r="Q336" t="str">
        <v>Sustainable Development</v>
      </c>
      <c r="R336" t="str">
        <f>IFERROR(VLOOKUP($I336,[1]DB2!$F$2:$I$58,2,0),"옛날 부서명 확인")</f>
        <v xml:space="preserve">Circular Economy Division </v>
      </c>
      <c r="S336" t="str">
        <f>IFERROR(VLOOKUP($I336,[1]DB2!$F$2:$I$58,4,0),"옛날 부서명 확인")</f>
        <v xml:space="preserve">Sustainable Development Research Group  </v>
      </c>
    </row>
    <row r="337">
      <c r="B337" t="str">
        <v>수탁과제</v>
      </c>
      <c r="C337" t="str">
        <v>2026-035</v>
      </c>
      <c r="D337" t="str">
        <v>제1차 국가물관리기본계획 2025년도 이행상황 평가</v>
      </c>
      <c r="F337" t="str">
        <v>10254</v>
      </c>
      <c r="G337" t="str">
        <v>류재나</v>
      </c>
      <c r="H337" t="str">
        <v>202508190</v>
      </c>
      <c r="I337" t="str">
        <v>물관리연구실</v>
      </c>
      <c r="J337">
        <v>98910000</v>
      </c>
      <c r="K337" s="1" t="d">
        <v>2026-02-11T23:59:08.000Z</v>
      </c>
      <c r="L337" s="1" t="d">
        <v>2026-11-29T23:59:08.000Z</v>
      </c>
      <c r="M337" t="str">
        <v>기후에너지환경부 물관리총괄과</v>
      </c>
      <c r="N337" t="str">
        <v>2025 Implementation Assessment of the 1st National Water Management Plan</v>
      </c>
      <c r="O337" t="str">
        <f>IFERROR(VLOOKUP($G337,[1]DB2!$A:$B,2,0),"공동과책 확인")</f>
        <v>Ryu, Jaena</v>
      </c>
      <c r="P337" t="str">
        <v>Water Management</v>
      </c>
      <c r="R337" t="str">
        <f>IFERROR(VLOOKUP($I337,[1]DB2!$F$2:$I$58,2,0),"옛날 부서명 확인")</f>
        <v xml:space="preserve">Water Management Division </v>
      </c>
      <c r="S337" t="str">
        <f>IFERROR(VLOOKUP($I337,[1]DB2!$F$2:$I$58,4,0),"옛날 부서명 확인")</f>
        <v xml:space="preserve">Land and Environment Research Group </v>
      </c>
    </row>
    <row r="338">
      <c r="B338" t="str">
        <v>수탁과제</v>
      </c>
      <c r="C338" t="str">
        <v>2026-036</v>
      </c>
      <c r="D338" t="str">
        <v>사업장 탈루 메탄에 대한 관리방안 마련 연구</v>
      </c>
      <c r="F338" t="str">
        <v>10260</v>
      </c>
      <c r="G338" t="str">
        <v>이승민</v>
      </c>
      <c r="H338" t="str">
        <v>202508187</v>
      </c>
      <c r="I338" t="str">
        <v>대기환경연구실</v>
      </c>
      <c r="J338">
        <v>63636360</v>
      </c>
      <c r="K338" s="1" t="d">
        <v>2026-02-11T23:59:08.000Z</v>
      </c>
      <c r="L338" s="1" t="d">
        <v>2026-12-11T23:59:08.000Z</v>
      </c>
      <c r="M338" t="str">
        <v>기후에너지환경부</v>
      </c>
      <c r="N338" t="str">
        <v>A Study on Developing Management Measures for Fugitive Methane Emissions at Industrial Sites</v>
      </c>
      <c r="O338" t="str">
        <f>IFERROR(VLOOKUP($G338,[1]DB2!$A:$B,2,0),"공동과책 확인")</f>
        <v>Lee, Seungmin</v>
      </c>
      <c r="P338" t="str">
        <v>Carbon Neutrality and Energy</v>
      </c>
      <c r="R338" t="str">
        <f>IFERROR(VLOOKUP($I338,[1]DB2!$F$2:$I$58,2,0),"옛날 부서명 확인")</f>
        <v>Atmospheric Environment Division</v>
      </c>
      <c r="S338" t="str">
        <f>IFERROR(VLOOKUP($I338,[1]DB2!$F$2:$I$58,4,0),"옛날 부서명 확인")</f>
        <v xml:space="preserve">Climate and Atmospheric Strategy Research Group  </v>
      </c>
    </row>
    <row r="339">
      <c r="B339" t="str">
        <v>수탁과제</v>
      </c>
      <c r="C339" t="str">
        <v>2026-037</v>
      </c>
      <c r="D339" t="str">
        <v>국가지속가능발전연구센터 지정·운영 위탁사업</v>
      </c>
      <c r="F339" t="str">
        <v>10132</v>
      </c>
      <c r="G339" t="str">
        <v>박창석</v>
      </c>
      <c r="H339" t="str">
        <v>202508030</v>
      </c>
      <c r="I339" t="str">
        <v>임원실</v>
      </c>
      <c r="J339">
        <v>1322727270</v>
      </c>
      <c r="K339" s="1" t="d">
        <v>2026-02-18T23:59:08.000Z</v>
      </c>
      <c r="L339" s="1" t="d">
        <v>2026-12-11T23:59:08.000Z</v>
      </c>
      <c r="M339" t="str">
        <v>국무조정실</v>
      </c>
      <c r="N339" t="str">
        <v>Management and Operation of the National Research Center for Sustainable Development</v>
      </c>
      <c r="O339" t="str">
        <f>IFERROR(VLOOKUP($G339,[1]DB2!$A:$B,2,0),"공동과책 확인")</f>
        <v>Park, Chang Sug</v>
      </c>
      <c r="P339" t="str">
        <v>Sustainable Development</v>
      </c>
      <c r="R339" t="str">
        <f>IFERROR(VLOOKUP($I339,[1]DB2!$F$2:$I$58,2,0),"옛날 부서명 확인")</f>
        <v>Executive Office</v>
      </c>
      <c r="S339" t="str">
        <f>IFERROR(VLOOKUP($I339,[1]DB2!$F$2:$I$58,4,0),"옛날 부서명 확인")</f>
        <v>Executive Office</v>
      </c>
    </row>
    <row r="340">
      <c r="B340" t="str">
        <v>수탁과제</v>
      </c>
      <c r="C340" t="str">
        <v>2026-039</v>
      </c>
      <c r="D340" t="str">
        <v>친환경적 재생에너지 환경성평가 방안 연구</v>
      </c>
      <c r="F340" t="str">
        <v>10353</v>
      </c>
      <c r="G340" t="str">
        <v>김도형</v>
      </c>
      <c r="H340" t="str">
        <v>202508207</v>
      </c>
      <c r="I340" t="str">
        <v>환경자원평가실</v>
      </c>
      <c r="J340">
        <v>150000000</v>
      </c>
      <c r="K340" s="1" t="d">
        <v>2026-02-24T23:59:08.000Z</v>
      </c>
      <c r="L340" s="1" t="d">
        <v>2026-12-30T23:59:08.000Z</v>
      </c>
      <c r="M340" t="str">
        <v>기후에너지환경부 환경영향평가과</v>
      </c>
      <c r="N340" t="str">
        <v>Environmental Assessment Strategies for Environmentally Sound Renewable Energy Development</v>
      </c>
      <c r="O340" t="str">
        <f>IFERROR(VLOOKUP($G340,[1]DB2!$A:$B,2,0),"공동과책 확인")</f>
        <v xml:space="preserve">Kim, Dohyeong </v>
      </c>
      <c r="P340" t="str">
        <v>Environmental Assessment</v>
      </c>
      <c r="Q340" t="str">
        <v>Carbon Neutrality and Energy</v>
      </c>
      <c r="R340" t="str">
        <f>IFERROR(VLOOKUP($I340,[1]DB2!$F$2:$I$58,2,0),"옛날 부서명 확인")</f>
        <v xml:space="preserve">Environmental Resources Assessment Division </v>
      </c>
      <c r="S340" t="str">
        <f>IFERROR(VLOOKUP($I340,[1]DB2!$F$2:$I$58,4,0),"옛날 부서명 확인")</f>
        <v xml:space="preserve">Environmental Assessment Group </v>
      </c>
    </row>
    <row r="341">
      <c r="B341" t="str">
        <v>수탁과제</v>
      </c>
      <c r="C341" t="str">
        <v>2026-040</v>
      </c>
      <c r="D341" t="str">
        <v>기후대응기금 재정사업 성과평가 체계 마련</v>
      </c>
      <c r="F341" t="str">
        <v>10335</v>
      </c>
      <c r="G341" t="str">
        <v>임형우</v>
      </c>
      <c r="H341" t="str">
        <v>202508197</v>
      </c>
      <c r="I341" t="str">
        <v>탄소중립연구실</v>
      </c>
      <c r="J341">
        <v>58000000</v>
      </c>
      <c r="K341" s="1" t="d">
        <v>2026-03-05T23:59:08.000Z</v>
      </c>
      <c r="L341" s="1" t="d">
        <v>2026-10-30T23:59:08.000Z</v>
      </c>
      <c r="M341" t="str">
        <v>기후에너지환경부</v>
      </c>
      <c r="N341" t="str">
        <v>Establishing a Performance Evaluation Framework for Fiscal Projects under the Climate Response Fund</v>
      </c>
      <c r="O341" t="str">
        <f>IFERROR(VLOOKUP($G341,[1]DB2!$A:$B,2,0),"공동과책 확인")</f>
        <v xml:space="preserve">Lim, Hyungwoo </v>
      </c>
      <c r="P341" t="str">
        <v>Environmental Economics</v>
      </c>
      <c r="Q341" t="str">
        <v>Carbon Neutrality and Energy</v>
      </c>
      <c r="R341" t="str">
        <f>IFERROR(VLOOKUP($I341,[1]DB2!$F$2:$I$58,2,0),"옛날 부서명 확인")</f>
        <v xml:space="preserve">Carbon Neutrality Division </v>
      </c>
      <c r="S341" t="str">
        <f>IFERROR(VLOOKUP($I341,[1]DB2!$F$2:$I$58,4,0),"옛날 부서명 확인")</f>
        <v xml:space="preserve">Climate and Atmospheric Strategy Research Group  </v>
      </c>
    </row>
    <row r="342">
      <c r="B342" t="str">
        <v>수탁과제</v>
      </c>
      <c r="C342" t="str">
        <v>2026-042</v>
      </c>
      <c r="D342" t="str">
        <v>환경기초시설 운영비 및 설치비 지원 방안 효율화</v>
      </c>
      <c r="F342" t="str">
        <v>10319</v>
      </c>
      <c r="G342" t="str">
        <v>전동진</v>
      </c>
      <c r="H342" t="str">
        <v>202508190</v>
      </c>
      <c r="I342" t="str">
        <v>물관리연구실</v>
      </c>
      <c r="J342">
        <v>136363630</v>
      </c>
      <c r="K342" s="1" t="d">
        <v>2026-03-15T23:59:08.000Z</v>
      </c>
      <c r="L342" s="1" t="d">
        <v>2026-10-23T23:59:08.000Z</v>
      </c>
      <c r="M342" t="str">
        <v>한강수계관리위원회</v>
      </c>
      <c r="N342" t="str">
        <v>Improving Fiscal Efficiency in Support Schemes for the Installation and Operation of Environmental Infrastructure</v>
      </c>
      <c r="O342" t="str">
        <f>IFERROR(VLOOKUP($G342,[1]DB2!$A:$B,2,0),"공동과책 확인")</f>
        <v>Jeon, Dongjin</v>
      </c>
      <c r="P342" t="str">
        <v>Environmental Economics</v>
      </c>
      <c r="Q342" t="str">
        <v>Water Management</v>
      </c>
      <c r="R342" t="str">
        <f>IFERROR(VLOOKUP($I342,[1]DB2!$F$2:$I$58,2,0),"옛날 부서명 확인")</f>
        <v xml:space="preserve">Water Management Division </v>
      </c>
      <c r="S342" t="str">
        <f>IFERROR(VLOOKUP($I342,[1]DB2!$F$2:$I$58,4,0),"옛날 부서명 확인")</f>
        <v xml:space="preserve">Land and Environment Research Group </v>
      </c>
    </row>
    <row r="343">
      <c r="B343" t="str">
        <v>수시과제</v>
      </c>
      <c r="C343" t="str">
        <v>WO2026-01</v>
      </c>
      <c r="D343" t="str">
        <v>위해성 기반 해외직구 제품 안전관리방안 연구</v>
      </c>
      <c r="F343" t="str">
        <v>10358</v>
      </c>
      <c r="G343" t="str">
        <v>임미영</v>
      </c>
      <c r="H343" t="str">
        <v>202508119</v>
      </c>
      <c r="I343" t="str">
        <v>환경보건연구실</v>
      </c>
      <c r="J343">
        <v>15000000</v>
      </c>
      <c r="K343" s="1" t="d">
        <v>2026-03-15T23:59:08.000Z</v>
      </c>
      <c r="L343" s="1" t="d">
        <v>2026-12-19T23:59:08.000Z</v>
      </c>
      <c r="N343" t="str">
        <v>Developing a Risk-based Safety Management Framework for Cross-border E-commerce Purchases</v>
      </c>
      <c r="O343" t="str">
        <f>IFERROR(VLOOKUP($G343,[1]DB2!$A:$B,2,0),"공동과책 확인")</f>
        <v xml:space="preserve"> Lim, Miyoung</v>
      </c>
      <c r="P343" t="str">
        <v>Environmental Health</v>
      </c>
      <c r="R343" t="str">
        <f>IFERROR(VLOOKUP($I343,[1]DB2!$F$2:$I$58,2,0),"옛날 부서명 확인")</f>
        <v xml:space="preserve">Environmental Health Division </v>
      </c>
      <c r="S343" t="str">
        <f>IFERROR(VLOOKUP($I343,[1]DB2!$F$2:$I$58,4,0),"옛날 부서명 확인")</f>
        <v xml:space="preserve">Sustainable Development Research Group  </v>
      </c>
    </row>
    <row r="344">
      <c r="B344" t="str">
        <v>수시과제</v>
      </c>
      <c r="C344" t="str">
        <v>WO2026-02</v>
      </c>
      <c r="D344" t="str">
        <v>도시 녹지네트워크 연결성 및 접근성 평가 지표 개발 연구</v>
      </c>
      <c r="F344" t="str">
        <v>10336</v>
      </c>
      <c r="G344" t="str">
        <v>이지영</v>
      </c>
      <c r="H344" t="str">
        <v>202508205</v>
      </c>
      <c r="I344" t="str">
        <v>국토관리연구실</v>
      </c>
      <c r="J344">
        <v>15000000</v>
      </c>
      <c r="K344" s="1" t="d">
        <v>2026-03-15T23:59:08.000Z</v>
      </c>
      <c r="L344" s="1" t="d">
        <v>2026-09-14T23:59:08.000Z</v>
      </c>
      <c r="N344" t="str">
        <v>A Study on Developing Indicators for Assessing Urban Green Network Connectivity and Accessibility</v>
      </c>
      <c r="O344" t="str">
        <f>IFERROR(VLOOKUP($G344,[1]DB2!$A:$B,2,0),"공동과책 확인")</f>
        <v>Lee, Ji-Young</v>
      </c>
      <c r="P344" t="str">
        <v>Land and Urban Environment</v>
      </c>
      <c r="Q344" t="str">
        <v>Ecology</v>
      </c>
      <c r="R344" t="str">
        <f>IFERROR(VLOOKUP($I344,[1]DB2!$F$2:$I$58,2,0),"옛날 부서명 확인")</f>
        <v>Spatial Planning and Management Division</v>
      </c>
      <c r="S344" t="str">
        <f>IFERROR(VLOOKUP($I344,[1]DB2!$F$2:$I$58,4,0),"옛날 부서명 확인")</f>
        <v xml:space="preserve">Land and Environment Research Group </v>
      </c>
    </row>
    <row r="345">
      <c r="B345" t="str">
        <v>수시과제</v>
      </c>
      <c r="C345" t="str">
        <v>WO2026-03</v>
      </c>
      <c r="D345" t="str">
        <v>생물다양성 정책의 기후위험 대응 잠재력·시너지 진단 및 확산방안</v>
      </c>
      <c r="F345" t="str">
        <v>10279</v>
      </c>
      <c r="G345" t="str">
        <v>김윤정</v>
      </c>
      <c r="H345" t="str">
        <v>202508192</v>
      </c>
      <c r="I345" t="str">
        <v>자연환경연구실</v>
      </c>
      <c r="J345">
        <v>15000000</v>
      </c>
      <c r="K345" s="1" t="d">
        <v>2026-03-15T23:59:08.000Z</v>
      </c>
      <c r="L345" s="1" t="d">
        <v>2026-09-14T23:59:08.000Z</v>
      </c>
      <c r="N345" t="str">
        <v>Assessing the Potential and Synergies of Biodiversity Policies for Addressing Climate Risks and Developing Scaling-up Strategies</v>
      </c>
      <c r="O345" t="str">
        <f>IFERROR(VLOOKUP($G345,[1]DB2!$A:$B,2,0),"공동과책 확인")</f>
        <v>Kim, Yoonjung</v>
      </c>
      <c r="P345" t="str">
        <v>Ecology</v>
      </c>
      <c r="Q345" t="str">
        <v>Climate Adaptation</v>
      </c>
      <c r="R345" t="str">
        <f>IFERROR(VLOOKUP($I345,[1]DB2!$F$2:$I$58,2,0),"옛날 부서명 확인")</f>
        <v xml:space="preserve">Natural Environment Division </v>
      </c>
      <c r="S345" t="str">
        <f>IFERROR(VLOOKUP($I345,[1]DB2!$F$2:$I$58,4,0),"옛날 부서명 확인")</f>
        <v xml:space="preserve">Land and Environment Research Group </v>
      </c>
    </row>
    <row r="346">
      <c r="B346" t="str">
        <v>수탁과제</v>
      </c>
      <c r="C346" t="str">
        <v>2025-122</v>
      </c>
      <c r="D346" t="str">
        <v>베트남 기후회복력 증진을 위한 지역 적응 계획 수립 및 역량 강화 사업</v>
      </c>
      <c r="F346" t="str">
        <v>10166</v>
      </c>
      <c r="G346" t="str">
        <v>조한나</v>
      </c>
      <c r="H346" t="str">
        <v>202508123</v>
      </c>
      <c r="I346" t="str">
        <v>기후적응협력실</v>
      </c>
      <c r="J346">
        <v>3855000000</v>
      </c>
      <c r="K346" s="1" t="d">
        <v>2025-12-14T23:59:08.000Z</v>
      </c>
      <c r="L346" s="1" t="d">
        <v>2029-12-13T23:59:08.000Z</v>
      </c>
      <c r="M346" t="str">
        <v>한국국제협력단</v>
      </c>
      <c r="N346" t="str">
        <v>Enhancing Climate Resilience in Vietnam through Local Adaptation Planning and Capacity Building</v>
      </c>
      <c r="O346" t="str">
        <f>IFERROR(VLOOKUP($G346,[1]DB2!$A:$B,2,0),"공동과책 확인")</f>
        <v>Cho, Hanna</v>
      </c>
      <c r="P346" t="str">
        <v>Climate Adaptation</v>
      </c>
      <c r="Q346" t="str">
        <v>International Environmental Collaboration</v>
      </c>
      <c r="R346" t="str">
        <f>IFERROR(VLOOKUP($I346,[1]DB2!$F$2:$I$58,2,0),"옛날 부서명 확인")</f>
        <v xml:space="preserve">Climate Adaptation Cooperation Division </v>
      </c>
      <c r="S346" t="str">
        <f>IFERROR(VLOOKUP($I346,[1]DB2!$F$2:$I$58,4,0),"옛날 부서명 확인")</f>
        <v xml:space="preserve">Korea Adaptation Center for Climate Change </v>
      </c>
    </row>
    <row r="347">
      <c r="B347" t="str">
        <v>수탁과제</v>
      </c>
      <c r="C347" t="str">
        <v>2026-034(R)</v>
      </c>
      <c r="D347" t="str">
        <v>한국형 연안재해 발생요인 예측기술 개발(1차년도)</v>
      </c>
      <c r="F347" t="str">
        <v>10257</v>
      </c>
      <c r="G347" t="str">
        <v>김충기</v>
      </c>
      <c r="H347" t="str">
        <v>202508192</v>
      </c>
      <c r="I347" t="str">
        <v>자연환경연구실</v>
      </c>
      <c r="J347">
        <v>150000000</v>
      </c>
      <c r="K347" s="1" t="d">
        <v>2025-12-31T23:59:08.000Z</v>
      </c>
      <c r="L347" s="1" t="d">
        <v>2029-12-30T23:59:08.000Z</v>
      </c>
      <c r="M347" t="str">
        <v>해양수산과학기술진흥원</v>
      </c>
      <c r="N347" t="str">
        <v>Development of Korea-Specific Prediction Technology for Coastal Disaster Drivers (Phase 1)</v>
      </c>
      <c r="O347" t="str">
        <f>IFERROR(VLOOKUP($G347,[1]DB2!$A:$B,2,0),"공동과책 확인")</f>
        <v>Kim, Choong-ki</v>
      </c>
      <c r="P347" t="str">
        <v>Climate Adaptation</v>
      </c>
      <c r="Q347" t="str">
        <v>Marine Environment</v>
      </c>
      <c r="R347" t="str">
        <f>IFERROR(VLOOKUP($I347,[1]DB2!$F$2:$I$58,2,0),"옛날 부서명 확인")</f>
        <v xml:space="preserve">Natural Environment Division </v>
      </c>
      <c r="S347" t="str">
        <f>IFERROR(VLOOKUP($I347,[1]DB2!$F$2:$I$58,4,0),"옛날 부서명 확인")</f>
        <v xml:space="preserve">Land and Environment Research Group </v>
      </c>
    </row>
    <row r="348">
      <c r="B348" t="str">
        <v>수탁과제</v>
      </c>
      <c r="C348" t="str">
        <v>2026-038(R)</v>
      </c>
      <c r="D348" t="str">
        <v>홍수피해 유형화 기반 취약지역 평가 및 피해액 추정 모형 개발 연구(4차년도)</v>
      </c>
      <c r="F348" t="str">
        <v>10333</v>
      </c>
      <c r="G348" t="str">
        <v>정기철</v>
      </c>
      <c r="H348" t="str">
        <v>202508190</v>
      </c>
      <c r="I348" t="str">
        <v>물관리연구실</v>
      </c>
      <c r="J348">
        <v>89350000</v>
      </c>
      <c r="K348" s="1" t="d">
        <v>2026-02-28T23:59:08.000Z</v>
      </c>
      <c r="L348" s="1" t="d">
        <v>2027-02-27T23:59:08.000Z</v>
      </c>
      <c r="M348" t="str">
        <v>한국연구재단</v>
      </c>
      <c r="N348" t="str">
        <v>Study on Developing a System for Flood Risk Evaluation and Expected Annual Damage based on Flood Damage Types (Year 4)</v>
      </c>
      <c r="O348" t="str">
        <f>IFERROR(VLOOKUP($G348,[1]DB2!$A:$B,2,0),"공동과책 확인")</f>
        <v xml:space="preserve">Jung, Kichul </v>
      </c>
      <c r="P348" t="str">
        <v>Water Management</v>
      </c>
      <c r="Q348" t="str">
        <v>Environmental Economics</v>
      </c>
      <c r="R348" t="str">
        <f>IFERROR(VLOOKUP($I348,[1]DB2!$F$2:$I$58,2,0),"옛날 부서명 확인")</f>
        <v xml:space="preserve">Water Management Division </v>
      </c>
      <c r="S348" t="str">
        <f>IFERROR(VLOOKUP($I348,[1]DB2!$F$2:$I$58,4,0),"옛날 부서명 확인")</f>
        <v xml:space="preserve">Land and Environment Research Group </v>
      </c>
    </row>
    <row r="349">
      <c r="B349" t="str">
        <v>수탁과제</v>
      </c>
      <c r="C349" t="str">
        <v>2026-041</v>
      </c>
      <c r="D349" t="str">
        <v>소규모 환경영향평가 제도개선 연구</v>
      </c>
      <c r="F349" t="str">
        <v>10308</v>
      </c>
      <c r="G349" t="str">
        <v>최현진</v>
      </c>
      <c r="H349" t="str">
        <v>202508207</v>
      </c>
      <c r="I349" t="str">
        <v>환경자원평가실</v>
      </c>
      <c r="J349">
        <v>49700000</v>
      </c>
      <c r="K349" s="1" t="d">
        <v>2026-03-15T23:59:08.000Z</v>
      </c>
      <c r="L349" s="1" t="d">
        <v>2027-01-10T23:59:08.000Z</v>
      </c>
      <c r="M349" t="str">
        <v>기후에너지환경부 국토환경정책과</v>
      </c>
      <c r="N349" t="str">
        <v>A Study on Improving the Small-Scale Environmental Impact Assessment System</v>
      </c>
      <c r="O349" t="str">
        <f>IFERROR(VLOOKUP($G349,[1]DB2!$A:$B,2,0),"공동과책 확인")</f>
        <v xml:space="preserve">Choi, Hyun-Jin </v>
      </c>
      <c r="P349" t="str">
        <v>Environmental Assessment</v>
      </c>
      <c r="Q349" t="str">
        <v>Environmental Economics</v>
      </c>
      <c r="R349" t="str">
        <f>IFERROR(VLOOKUP($I349,[1]DB2!$F$2:$I$58,2,0),"옛날 부서명 확인")</f>
        <v xml:space="preserve">Environmental Resources Assessment Division </v>
      </c>
      <c r="S349" t="str">
        <f>IFERROR(VLOOKUP($I349,[1]DB2!$F$2:$I$58,4,0),"옛날 부서명 확인")</f>
        <v xml:space="preserve">Environmental Assessment Group </v>
      </c>
    </row>
    <row r="350">
      <c r="B350" t="str">
        <v>수탁과제</v>
      </c>
      <c r="C350" t="str">
        <v>2026-043</v>
      </c>
      <c r="D350" t="str">
        <v>폐수배출시설 인허가 업무 안내서 개정 연구</v>
      </c>
      <c r="F350" t="str">
        <v>10193</v>
      </c>
      <c r="G350" t="str">
        <v>안종호</v>
      </c>
      <c r="H350" t="str">
        <v>202508190</v>
      </c>
      <c r="I350" t="str">
        <v>물관리연구실</v>
      </c>
      <c r="J350">
        <v>49650000</v>
      </c>
      <c r="K350" s="1" t="d">
        <v>2026-03-29T23:59:08.000Z</v>
      </c>
      <c r="L350" s="1" t="d">
        <v>2026-11-29T23:59:08.000Z</v>
      </c>
      <c r="M350" t="str">
        <v>기후에너지환경부 수질수생태과</v>
      </c>
      <c r="N350" t="str">
        <v>Revision of the Guidelines for Permitting Wastewater Discharge Facilities</v>
      </c>
      <c r="O350" t="str">
        <f>IFERROR(VLOOKUP($G350,[1]DB2!$A:$B,2,0),"공동과책 확인")</f>
        <v>Ahn, Jongho</v>
      </c>
      <c r="P350" t="str">
        <v>Water Management</v>
      </c>
      <c r="R350" t="str">
        <f>IFERROR(VLOOKUP($I350,[1]DB2!$F$2:$I$58,2,0),"옛날 부서명 확인")</f>
        <v xml:space="preserve">Water Management Division </v>
      </c>
      <c r="S350" t="str">
        <f>IFERROR(VLOOKUP($I350,[1]DB2!$F$2:$I$58,4,0),"옛날 부서명 확인")</f>
        <v xml:space="preserve">Land and Environment Research Group </v>
      </c>
    </row>
    <row r="351">
      <c r="B351" t="str">
        <v>수탁과제</v>
      </c>
      <c r="C351" t="str">
        <v>2026-044</v>
      </c>
      <c r="D351" t="str">
        <v>2025년도 국가 탄소중립 녹색성장 기본계획 및 온실가스 감축 이행평가</v>
      </c>
      <c r="F351" t="str">
        <v>10305</v>
      </c>
      <c r="G351" t="str">
        <v>신동원</v>
      </c>
      <c r="H351" t="str">
        <v>202508095</v>
      </c>
      <c r="I351" t="str">
        <v>녹색경제연구실</v>
      </c>
      <c r="J351">
        <v>90909000</v>
      </c>
      <c r="K351" s="1" t="d">
        <v>2026-03-29T23:59:08.000Z</v>
      </c>
      <c r="L351" s="1" t="d">
        <v>2026-11-23T23:59:08.000Z</v>
      </c>
      <c r="M351" t="str">
        <v>기후에너지환경부 기후에너지정책과</v>
      </c>
      <c r="N351" t="str">
        <v>Evaluation of the National Framework Plan for Carbon Neutrality and Green Growth and Greenhouse Gas Reduction in 2025</v>
      </c>
      <c r="O351" t="str">
        <f>IFERROR(VLOOKUP($G351,[1]DB2!$A:$B,2,0),"공동과책 확인")</f>
        <v>Shin, Dong Won</v>
      </c>
      <c r="P351" t="str">
        <v>Carbon Neutrality and Energy</v>
      </c>
      <c r="Q351" t="str">
        <v>Sustainable Development</v>
      </c>
      <c r="R351" t="str">
        <f>IFERROR(VLOOKUP($I351,[1]DB2!$F$2:$I$58,2,0),"옛날 부서명 확인")</f>
        <v xml:space="preserve">Green Economy Division </v>
      </c>
      <c r="S351" t="str">
        <f>IFERROR(VLOOKUP($I351,[1]DB2!$F$2:$I$58,4,0),"옛날 부서명 확인")</f>
        <v xml:space="preserve">Climate and Atmospheric Strategy Research Group  </v>
      </c>
    </row>
    <row r="352">
      <c r="B352" t="str">
        <v>수탁과제</v>
      </c>
      <c r="C352" t="str">
        <v>2026-047</v>
      </c>
      <c r="D352" t="str">
        <v>수자원위성 활용기술 개발(II)(3차)</v>
      </c>
      <c r="F352" t="str">
        <v>30056</v>
      </c>
      <c r="G352" t="str">
        <v>이선민</v>
      </c>
      <c r="H352" t="str">
        <v>202508123</v>
      </c>
      <c r="I352" t="str">
        <v>기후적응협력실</v>
      </c>
      <c r="J352">
        <v>68989208</v>
      </c>
      <c r="K352" s="1" t="d">
        <v>2026-03-30T23:59:08.000Z</v>
      </c>
      <c r="L352" s="1" t="d">
        <v>2027-06-07T23:59:08.000Z</v>
      </c>
      <c r="M352" t="str">
        <v>K-water 연구원</v>
      </c>
      <c r="N352" t="str">
        <v>Developing Technologies for Satellite-based Water Resource Management (II) (Phase 3)</v>
      </c>
      <c r="O352" t="str">
        <f>IFERROR(VLOOKUP($G352,[1]DB2!$A:$B,2,0),"공동과책 확인")</f>
        <v>Lee, Sunmin</v>
      </c>
      <c r="P352" t="str">
        <v>Water Management</v>
      </c>
      <c r="Q352" t="str">
        <v>AI and Environmental Informatics</v>
      </c>
      <c r="R352" t="str">
        <f>IFERROR(VLOOKUP($I352,[1]DB2!$F$2:$I$58,2,0),"옛날 부서명 확인")</f>
        <v xml:space="preserve">Climate Adaptation Cooperation Division </v>
      </c>
      <c r="S352" t="str">
        <f>IFERROR(VLOOKUP($I352,[1]DB2!$F$2:$I$58,4,0),"옛날 부서명 확인")</f>
        <v xml:space="preserve">Korea Adaptation Center for Climate Change </v>
      </c>
    </row>
    <row r="353">
      <c r="B353" t="str">
        <v>정부지원사업</v>
      </c>
      <c r="C353" t="str">
        <v>GS2026-01</v>
      </c>
      <c r="D353" t="str">
        <v>아세안+3 기후변화 분야 실질 협력 방안 마련</v>
      </c>
      <c r="F353" t="str">
        <v>10340</v>
      </c>
      <c r="G353" t="str">
        <v>문종우</v>
      </c>
      <c r="H353" t="str">
        <v>202508197</v>
      </c>
      <c r="I353" t="str">
        <v>탄소중립연구실</v>
      </c>
      <c r="J353">
        <v>42000000</v>
      </c>
      <c r="K353" s="1" t="d">
        <v>2026-03-31T23:59:08.000Z</v>
      </c>
      <c r="L353" s="1" t="d">
        <v>2026-12-30T23:59:08.000Z</v>
      </c>
      <c r="N353" t="str">
        <v>Developing Practical Cooperation Measures on Climate Change for ASEAN+3</v>
      </c>
      <c r="O353" t="str">
        <f>IFERROR(VLOOKUP($G353,[1]DB2!$A:$B,2,0),"공동과책 확인")</f>
        <v xml:space="preserve">Moon, Jongwoo </v>
      </c>
      <c r="P353" t="str">
        <v>Climate Adaptation</v>
      </c>
      <c r="Q353" t="str">
        <v>International Environmental Collaboration</v>
      </c>
      <c r="R353" t="str">
        <f>IFERROR(VLOOKUP($I353,[1]DB2!$F$2:$I$58,2,0),"옛날 부서명 확인")</f>
        <v xml:space="preserve">Carbon Neutrality Division </v>
      </c>
      <c r="S353" t="str">
        <f>IFERROR(VLOOKUP($I353,[1]DB2!$F$2:$I$58,4,0),"옛날 부서명 확인")</f>
        <v xml:space="preserve">Climate and Atmospheric Strategy Research Group  </v>
      </c>
    </row>
    <row r="354">
      <c r="B354" t="str">
        <v>정부지원사업</v>
      </c>
      <c r="C354" t="str">
        <v>GS2026-02</v>
      </c>
      <c r="D354" t="str">
        <v>2026년 환경 규제 비용·편익 분석</v>
      </c>
      <c r="F354" t="str">
        <v>10159</v>
      </c>
      <c r="G354" t="str">
        <v>임혜숙</v>
      </c>
      <c r="H354" t="str">
        <v>202508204</v>
      </c>
      <c r="I354" t="str">
        <v>순환경제연구실</v>
      </c>
      <c r="J354">
        <v>53000000</v>
      </c>
      <c r="K354" s="1" t="d">
        <v>2026-03-31T23:59:08.000Z</v>
      </c>
      <c r="L354" s="1" t="d">
        <v>2026-12-30T23:59:08.000Z</v>
      </c>
      <c r="N354" t="str">
        <v>2026 Cost-Benefit Analysis of Environmental Regulations</v>
      </c>
      <c r="O354" t="str">
        <f>IFERROR(VLOOKUP($G354,[1]DB2!$A:$B,2,0),"공동과책 확인")</f>
        <v>Lim, Hyesook</v>
      </c>
      <c r="P354" t="str">
        <v>Environmental Economics</v>
      </c>
      <c r="Q354" t="str">
        <v>Circular Economy</v>
      </c>
      <c r="R354" t="str">
        <f>IFERROR(VLOOKUP($I354,[1]DB2!$F$2:$I$58,2,0),"옛날 부서명 확인")</f>
        <v xml:space="preserve">Circular Economy Division </v>
      </c>
      <c r="S354" t="str">
        <f>IFERROR(VLOOKUP($I354,[1]DB2!$F$2:$I$58,4,0),"옛날 부서명 확인")</f>
        <v xml:space="preserve">Sustainable Development Research Group  </v>
      </c>
    </row>
    <row r="355">
      <c r="B355" t="str">
        <v>정부지원사업</v>
      </c>
      <c r="C355" t="str">
        <v>GS2026-03</v>
      </c>
      <c r="D355" t="str">
        <v>국민환경보건 기초조사 제도 개선 방안 마련</v>
      </c>
      <c r="F355" t="str">
        <v>10349</v>
      </c>
      <c r="G355" t="str">
        <v>정윤선</v>
      </c>
      <c r="H355" t="str">
        <v>202508119</v>
      </c>
      <c r="I355" t="str">
        <v>환경보건연구실</v>
      </c>
      <c r="J355">
        <v>42000000</v>
      </c>
      <c r="K355" s="1" t="d">
        <v>2026-03-31T23:59:08.000Z</v>
      </c>
      <c r="L355" s="1" t="d">
        <v>2026-12-30T23:59:08.000Z</v>
      </c>
      <c r="N355" t="str">
        <v>Development of Improvement Measures for the Korean National Environmental Health Survey System</v>
      </c>
      <c r="O355" t="str">
        <f>IFERROR(VLOOKUP($G355,[1]DB2!$A:$B,2,0),"공동과책 확인")</f>
        <v>Jeong, Yunsun</v>
      </c>
      <c r="P355" t="str">
        <v>Environmental Health</v>
      </c>
      <c r="R355" t="str">
        <f>IFERROR(VLOOKUP($I355,[1]DB2!$F$2:$I$58,2,0),"옛날 부서명 확인")</f>
        <v xml:space="preserve">Environmental Health Division </v>
      </c>
      <c r="S355" t="str">
        <f>IFERROR(VLOOKUP($I355,[1]DB2!$F$2:$I$58,4,0),"옛날 부서명 확인")</f>
        <v xml:space="preserve">Sustainable Development Research Group  </v>
      </c>
    </row>
    <row r="356">
      <c r="B356" t="str">
        <v>정부지원사업</v>
      </c>
      <c r="C356" t="str">
        <v>GS2026-04</v>
      </c>
      <c r="D356" t="str">
        <v>생물다양성협약 쿤밍-몬트리올 GBF 이행동향 분석 및 대응방안 연구</v>
      </c>
      <c r="F356" t="str">
        <v>10304</v>
      </c>
      <c r="G356" t="str">
        <v>이후승</v>
      </c>
      <c r="H356" t="str">
        <v>202508192</v>
      </c>
      <c r="I356" t="str">
        <v>자연환경연구실</v>
      </c>
      <c r="J356">
        <v>52000000</v>
      </c>
      <c r="K356" s="1" t="d">
        <v>2026-03-31T23:59:08.000Z</v>
      </c>
      <c r="L356" s="1" t="d">
        <v>2026-12-30T23:59:08.000Z</v>
      </c>
      <c r="N356" t="str">
        <v>Analysis of Implementation Trends and Development of Policy Responses to the CBD Kunming-Montreal Global Biodiversity Framework</v>
      </c>
      <c r="O356" t="str">
        <f>IFERROR(VLOOKUP($G356,[1]DB2!$A:$B,2,0),"공동과책 확인")</f>
        <v>Lee, Who-Seung</v>
      </c>
      <c r="P356" t="str">
        <v>Ecology</v>
      </c>
      <c r="Q356" t="str">
        <v>International Environmental Collaboration</v>
      </c>
      <c r="R356" t="str">
        <f>IFERROR(VLOOKUP($I356,[1]DB2!$F$2:$I$58,2,0),"옛날 부서명 확인")</f>
        <v xml:space="preserve">Natural Environment Division </v>
      </c>
      <c r="S356" t="str">
        <f>IFERROR(VLOOKUP($I356,[1]DB2!$F$2:$I$58,4,0),"옛날 부서명 확인")</f>
        <v xml:space="preserve">Land and Environment Research Group </v>
      </c>
    </row>
    <row r="357">
      <c r="B357" t="str">
        <v>정부지원사업</v>
      </c>
      <c r="C357" t="str">
        <v>GS2026-05</v>
      </c>
      <c r="D357" t="str">
        <v>물 분야 법정계획 정비의 이행 방안 및 발전 방향 연구</v>
      </c>
      <c r="F357" t="str">
        <v>10184</v>
      </c>
      <c r="G357" t="str">
        <v>김익재</v>
      </c>
      <c r="H357" t="str">
        <v>202508190</v>
      </c>
      <c r="I357" t="str">
        <v>물관리연구실</v>
      </c>
      <c r="J357">
        <v>52000000</v>
      </c>
      <c r="K357" s="1" t="d">
        <v>2026-03-31T23:59:08.000Z</v>
      </c>
      <c r="L357" s="1" t="d">
        <v>2026-12-30T23:59:08.000Z</v>
      </c>
      <c r="N357" t="str">
        <v>Implementation Strategies and Future Directions for Improving Statutory Water Plans</v>
      </c>
      <c r="O357" t="str">
        <f>IFERROR(VLOOKUP($G357,[1]DB2!$A:$B,2,0),"공동과책 확인")</f>
        <v>Kim, Ikjae</v>
      </c>
      <c r="P357" t="str">
        <v>Water Management</v>
      </c>
      <c r="Q357" t="str">
        <v>Sustainable Development</v>
      </c>
      <c r="R357" t="str">
        <f>IFERROR(VLOOKUP($I357,[1]DB2!$F$2:$I$58,2,0),"옛날 부서명 확인")</f>
        <v xml:space="preserve">Water Management Division </v>
      </c>
      <c r="S357" t="str">
        <f>IFERROR(VLOOKUP($I357,[1]DB2!$F$2:$I$58,4,0),"옛날 부서명 확인")</f>
        <v xml:space="preserve">Land and Environment Research Group </v>
      </c>
    </row>
    <row r="358">
      <c r="B358" t="str">
        <v>정부지원사업</v>
      </c>
      <c r="C358" t="str">
        <v>GS2026-06</v>
      </c>
      <c r="D358" t="str">
        <v>도시 비점오염원 관리 및 물순환 회복을 위한 저영향개발(LID)적용 확대 방안: 조경 및 건축 관련 규정을 중심으로</v>
      </c>
      <c r="F358" t="str">
        <v>10214</v>
      </c>
      <c r="G358" t="str">
        <v>김호정</v>
      </c>
      <c r="H358" t="str">
        <v>202508190</v>
      </c>
      <c r="I358" t="str">
        <v>물관리연구실</v>
      </c>
      <c r="J358">
        <v>32000000</v>
      </c>
      <c r="K358" s="1" t="d">
        <v>2026-03-31T23:59:08.000Z</v>
      </c>
      <c r="L358" s="1" t="d">
        <v>2026-11-29T23:59:08.000Z</v>
      </c>
      <c r="N358" t="str">
        <v>Expanding Low Impact Development (LID) for Managing Urban Nonpoint Source Pollution and Water Cycle Restoration: Focusing on Landscape and Building Regulations</v>
      </c>
      <c r="O358" t="str">
        <f>IFERROR(VLOOKUP($G358,[1]DB2!$A:$B,2,0),"공동과책 확인")</f>
        <v>Kim, Hojeong</v>
      </c>
      <c r="P358" t="str">
        <v>Water Management</v>
      </c>
      <c r="Q358" t="str">
        <v>Land and Urban Environment</v>
      </c>
      <c r="R358" t="str">
        <f>IFERROR(VLOOKUP($I358,[1]DB2!$F$2:$I$58,2,0),"옛날 부서명 확인")</f>
        <v xml:space="preserve">Water Management Division </v>
      </c>
      <c r="S358" t="str">
        <f>IFERROR(VLOOKUP($I358,[1]DB2!$F$2:$I$58,4,0),"옛날 부서명 확인")</f>
        <v xml:space="preserve">Land and Environment Research Group </v>
      </c>
    </row>
    <row r="359">
      <c r="B359" t="str">
        <v>정부지원사업</v>
      </c>
      <c r="C359" t="str">
        <v>GS2026-07</v>
      </c>
      <c r="D359" t="str">
        <v>농업 최적관리기법 보급 확대를 위한 실효적 사업모델 마련</v>
      </c>
      <c r="F359" t="str">
        <v>10319</v>
      </c>
      <c r="G359" t="str">
        <v>전동진</v>
      </c>
      <c r="H359" t="str">
        <v>202508190</v>
      </c>
      <c r="I359" t="str">
        <v>물관리연구실</v>
      </c>
      <c r="J359">
        <v>42000000</v>
      </c>
      <c r="K359" s="1" t="d">
        <v>2026-03-31T23:59:08.000Z</v>
      </c>
      <c r="L359" s="1" t="d">
        <v>2026-12-30T23:59:08.000Z</v>
      </c>
      <c r="N359" t="str">
        <v>Development of Effective Program Models for Scaling Up Agricultural Best Management Practices (BMPs)</v>
      </c>
      <c r="O359" t="str">
        <f>IFERROR(VLOOKUP($G359,[1]DB2!$A:$B,2,0),"공동과책 확인")</f>
        <v>Jeon, Dongjin</v>
      </c>
      <c r="P359" t="str">
        <v>Water Management</v>
      </c>
      <c r="Q359" t="str">
        <v>Environmental Economics</v>
      </c>
      <c r="R359" t="str">
        <f>IFERROR(VLOOKUP($I359,[1]DB2!$F$2:$I$58,2,0),"옛날 부서명 확인")</f>
        <v xml:space="preserve">Water Management Division </v>
      </c>
      <c r="S359" t="str">
        <f>IFERROR(VLOOKUP($I359,[1]DB2!$F$2:$I$58,4,0),"옛날 부서명 확인")</f>
        <v xml:space="preserve">Land and Environment Research Group </v>
      </c>
    </row>
    <row r="360">
      <c r="B360" t="str">
        <v>정부지원사업</v>
      </c>
      <c r="C360" t="str">
        <v>GS2026-08</v>
      </c>
      <c r="D360" t="str">
        <v>하구 연계 중소하천 수생태 연속성 회복 전략 연구</v>
      </c>
      <c r="F360" t="str">
        <v>10356</v>
      </c>
      <c r="G360" t="str">
        <v>최미경</v>
      </c>
      <c r="H360" t="str">
        <v>202508190</v>
      </c>
      <c r="I360" t="str">
        <v>물관리연구실</v>
      </c>
      <c r="J360">
        <v>52000000</v>
      </c>
      <c r="K360" s="1" t="d">
        <v>2026-03-31T23:59:08.000Z</v>
      </c>
      <c r="L360" s="1" t="d">
        <v>2026-12-30T23:59:08.000Z</v>
      </c>
      <c r="N360" t="str">
        <v>A Study on Strategies for Restoring Aquatic Ecological Connectivity in Small and Medium-Sized Streams Linked to Estuaries</v>
      </c>
      <c r="O360" t="str">
        <f>IFERROR(VLOOKUP($G360,[1]DB2!$A:$B,2,0),"공동과책 확인")</f>
        <v>Choi, Mikyoung</v>
      </c>
      <c r="P360" t="str">
        <v>Ecology</v>
      </c>
      <c r="Q360" t="str">
        <v>Water Management</v>
      </c>
      <c r="R360" t="str">
        <f>IFERROR(VLOOKUP($I360,[1]DB2!$F$2:$I$58,2,0),"옛날 부서명 확인")</f>
        <v xml:space="preserve">Water Management Division </v>
      </c>
      <c r="S360" t="str">
        <f>IFERROR(VLOOKUP($I360,[1]DB2!$F$2:$I$58,4,0),"옛날 부서명 확인")</f>
        <v xml:space="preserve">Land and Environment Research Group </v>
      </c>
    </row>
    <row r="361">
      <c r="B361" t="str">
        <v>정부지원사업</v>
      </c>
      <c r="C361" t="str">
        <v>GS2026-09</v>
      </c>
      <c r="D361" t="str">
        <v>산업폐수 관리 및 수질오염 감시체계 고도화</v>
      </c>
      <c r="F361" t="str">
        <v>10189</v>
      </c>
      <c r="G361" t="str">
        <v>한대호</v>
      </c>
      <c r="H361" t="str">
        <v>202508190</v>
      </c>
      <c r="I361" t="str">
        <v>물관리연구실</v>
      </c>
      <c r="J361">
        <v>52000000</v>
      </c>
      <c r="K361" s="1" t="d">
        <v>2026-03-31T23:59:08.000Z</v>
      </c>
      <c r="L361" s="1" t="d">
        <v>2026-12-30T23:59:08.000Z</v>
      </c>
      <c r="N361" t="str">
        <v>Advancing Industrial Wastewater Management and Water Quality Surveillance Systems</v>
      </c>
      <c r="O361" t="str">
        <f>IFERROR(VLOOKUP($G361,[1]DB2!$A:$B,2,0),"공동과책 확인")</f>
        <v>Han, Daeho</v>
      </c>
      <c r="P361" t="str">
        <v>Water Management</v>
      </c>
      <c r="R361" t="str">
        <f>IFERROR(VLOOKUP($I361,[1]DB2!$F$2:$I$58,2,0),"옛날 부서명 확인")</f>
        <v xml:space="preserve">Water Management Division </v>
      </c>
      <c r="S361" t="str">
        <f>IFERROR(VLOOKUP($I361,[1]DB2!$F$2:$I$58,4,0),"옛날 부서명 확인")</f>
        <v xml:space="preserve">Land and Environment Research Group </v>
      </c>
    </row>
    <row r="362">
      <c r="B362" t="str">
        <v>정부지원사업</v>
      </c>
      <c r="C362" t="str">
        <v>GS2026-10</v>
      </c>
      <c r="D362" t="str">
        <v>지자체 국토-환경계획 통합관리 이행 지원 및 체계화 방안 연구</v>
      </c>
      <c r="F362" t="str">
        <v>10253</v>
      </c>
      <c r="G362" t="str">
        <v>김태현</v>
      </c>
      <c r="H362" t="str">
        <v>202508205</v>
      </c>
      <c r="I362" t="str">
        <v>국토관리연구실</v>
      </c>
      <c r="J362">
        <v>42000000</v>
      </c>
      <c r="K362" s="1" t="d">
        <v>2026-03-31T23:59:08.000Z</v>
      </c>
      <c r="L362" s="1" t="d">
        <v>2026-12-30T23:59:08.000Z</v>
      </c>
      <c r="N362" t="str">
        <v>Advancing Integrated Management of Land and Environmental Planning at the Local Government Level</v>
      </c>
      <c r="O362" t="str">
        <f>IFERROR(VLOOKUP($G362,[1]DB2!$A:$B,2,0),"공동과책 확인")</f>
        <v xml:space="preserve">Kim, Taehyun </v>
      </c>
      <c r="P362" t="str">
        <v>Land and Urban Environment</v>
      </c>
      <c r="R362" t="str">
        <f>IFERROR(VLOOKUP($I362,[1]DB2!$F$2:$I$58,2,0),"옛날 부서명 확인")</f>
        <v>Spatial Planning and Management Division</v>
      </c>
      <c r="S362" t="str">
        <f>IFERROR(VLOOKUP($I362,[1]DB2!$F$2:$I$58,4,0),"옛날 부서명 확인")</f>
        <v xml:space="preserve">Land and Environment Research Group </v>
      </c>
    </row>
    <row r="363">
      <c r="B363" t="str">
        <v>정부지원사업</v>
      </c>
      <c r="C363" t="str">
        <v>GS2026-11</v>
      </c>
      <c r="D363" t="str">
        <v>전략환경영향평가서(정책계획) 작성 기준 현실화 방안 마련</v>
      </c>
      <c r="F363" t="str">
        <v>10245</v>
      </c>
      <c r="G363" t="str">
        <v>이상윤</v>
      </c>
      <c r="H363" t="str">
        <v>202508207</v>
      </c>
      <c r="I363" t="str">
        <v>환경자원평가실</v>
      </c>
      <c r="J363">
        <v>52000000</v>
      </c>
      <c r="K363" s="1" t="d">
        <v>2026-03-31T23:59:08.000Z</v>
      </c>
      <c r="L363" s="1" t="d">
        <v>2026-12-30T23:59:08.000Z</v>
      </c>
      <c r="N363" t="str">
        <v>Improving the Practicality of Preparation Guidelines for Strategic Environmental Impact Assessment Reports (Policy Plans)</v>
      </c>
      <c r="O363" t="str">
        <f>IFERROR(VLOOKUP($G363,[1]DB2!$A:$B,2,0),"공동과책 확인")</f>
        <v>Lee, Sangyun</v>
      </c>
      <c r="P363" t="str">
        <v>Environmental Assessment</v>
      </c>
      <c r="Q363" t="str">
        <v>Sustainable Development</v>
      </c>
      <c r="R363" t="str">
        <f>IFERROR(VLOOKUP($I363,[1]DB2!$F$2:$I$58,2,0),"옛날 부서명 확인")</f>
        <v xml:space="preserve">Environmental Resources Assessment Division </v>
      </c>
      <c r="S363" t="str">
        <f>IFERROR(VLOOKUP($I363,[1]DB2!$F$2:$I$58,4,0),"옛날 부서명 확인")</f>
        <v xml:space="preserve">Environmental Assessment Group </v>
      </c>
    </row>
    <row r="364">
      <c r="B364" t="str">
        <v>정부지원사업</v>
      </c>
      <c r="C364" t="str">
        <v>GS2026-12</v>
      </c>
      <c r="D364" t="str">
        <v>환경영향평가 자연환경조사체계 개선방안 연구</v>
      </c>
      <c r="F364" t="str">
        <v>10352</v>
      </c>
      <c r="G364" t="str">
        <v>허남주</v>
      </c>
      <c r="H364" t="str">
        <v>202508165</v>
      </c>
      <c r="I364" t="str">
        <v>기후에너지평가실</v>
      </c>
      <c r="J364">
        <v>42000000</v>
      </c>
      <c r="K364" s="1" t="d">
        <v>2026-03-31T23:59:08.000Z</v>
      </c>
      <c r="L364" s="1" t="d">
        <v>2026-12-30T23:59:08.000Z</v>
      </c>
      <c r="N364" t="str">
        <v>A Study on Improving the Natural Environment Survey System for Environmental Impact Assessment</v>
      </c>
      <c r="O364" t="str">
        <f>IFERROR(VLOOKUP($G364,[1]DB2!$A:$B,2,0),"공동과책 확인")</f>
        <v xml:space="preserve">Heo, Namjoo </v>
      </c>
      <c r="P364" t="str">
        <v>Environmental Assessment</v>
      </c>
      <c r="Q364" t="str">
        <v>ecology</v>
      </c>
      <c r="R364" t="str">
        <f>IFERROR(VLOOKUP($I364,[1]DB2!$F$2:$I$58,2,0),"옛날 부서명 확인")</f>
        <v xml:space="preserve">Climate and Energy Assessment Division </v>
      </c>
      <c r="S364" t="str">
        <f>IFERROR(VLOOKUP($I364,[1]DB2!$F$2:$I$58,4,0),"옛날 부서명 확인")</f>
        <v xml:space="preserve">Environmental Assessment Group </v>
      </c>
    </row>
    <row r="365">
      <c r="B365" t="str">
        <v>정부지원사업</v>
      </c>
      <c r="C365" t="str">
        <v>GS2026-13</v>
      </c>
      <c r="D365" t="str">
        <v>육상풍력 누적영향 분석 체계 연구</v>
      </c>
      <c r="F365" t="str">
        <v>10302</v>
      </c>
      <c r="G365" t="str">
        <v>권선용</v>
      </c>
      <c r="H365" t="str">
        <v>202508165</v>
      </c>
      <c r="I365" t="str">
        <v>기후에너지평가실</v>
      </c>
      <c r="J365">
        <v>52000000</v>
      </c>
      <c r="K365" s="1" t="d">
        <v>2026-03-31T23:59:08.000Z</v>
      </c>
      <c r="L365" s="1" t="d">
        <v>2026-12-30T23:59:08.000Z</v>
      </c>
      <c r="N365" t="str">
        <v>Development of a Cumulative Impact Assessment Framework for Onshore Wind Power</v>
      </c>
      <c r="O365" t="str">
        <f>IFERROR(VLOOKUP($G365,[1]DB2!$A:$B,2,0),"공동과책 확인")</f>
        <v>Kwon, Sunyong</v>
      </c>
      <c r="P365" t="str">
        <v>Carbon Neutrality and Energy</v>
      </c>
      <c r="Q365" t="str">
        <v>Environmental Assessment</v>
      </c>
      <c r="R365" t="str">
        <f>IFERROR(VLOOKUP($I365,[1]DB2!$F$2:$I$58,2,0),"옛날 부서명 확인")</f>
        <v xml:space="preserve">Climate and Energy Assessment Division </v>
      </c>
      <c r="S365" t="str">
        <f>IFERROR(VLOOKUP($I365,[1]DB2!$F$2:$I$58,4,0),"옛날 부서명 확인")</f>
        <v xml:space="preserve">Environmental Assessment Group </v>
      </c>
    </row>
  </sheetData>
  <autoFilter ref="A1:S365"/>
  <pageMargins left="0.7" right="0.7" top="0.75" bottom="0.75" header="0.3" footer="0.3"/>
  <ignoredErrors>
    <ignoredError numberStoredAsText="1" sqref="A1:S3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23"/>
  <sheetViews>
    <sheetView workbookViewId="0" rightToLeft="0"/>
  </sheetViews>
  <sheetData>
    <row r="1">
      <c r="A1" t="str">
        <v>성명</v>
      </c>
      <c r="B1" t="str">
        <v>성명(영문)</v>
      </c>
      <c r="F1" t="str">
        <v>실</v>
      </c>
      <c r="H1" t="str">
        <v>부</v>
      </c>
    </row>
    <row r="2">
      <c r="A2" t="str">
        <v>김영란</v>
      </c>
      <c r="B2" t="str">
        <v>Kim, Youngran</v>
      </c>
      <c r="F2" t="str">
        <v>기후적응정책실</v>
      </c>
      <c r="G2" t="str">
        <v xml:space="preserve">Climate Adaptation Policy Division </v>
      </c>
      <c r="H2" t="str">
        <v>국가기후위기적응센터</v>
      </c>
      <c r="I2" t="str">
        <v xml:space="preserve">Korea Adaptation Center for Climate Change </v>
      </c>
    </row>
    <row r="3">
      <c r="A3" t="str">
        <v>장기복</v>
      </c>
      <c r="B3" t="str">
        <v>Chang, Ki-bok</v>
      </c>
      <c r="F3" t="str">
        <v>국가기후위기적응센터</v>
      </c>
      <c r="G3" t="str">
        <v xml:space="preserve">Korea Adaptation Center for Climate Change </v>
      </c>
      <c r="H3" t="str">
        <v>국가기후위기적응센터</v>
      </c>
      <c r="I3" t="str">
        <v xml:space="preserve">Korea Adaptation Center for Climate Change </v>
      </c>
    </row>
    <row r="4">
      <c r="A4" t="str">
        <v>박정규</v>
      </c>
      <c r="B4" t="str">
        <v>Park, Jeonggue</v>
      </c>
      <c r="F4" t="str">
        <v>기후적응협력실</v>
      </c>
      <c r="G4" t="str">
        <v xml:space="preserve">Climate Adaptation Cooperation Division </v>
      </c>
      <c r="H4" t="str">
        <v>국가기후위기적응센터</v>
      </c>
      <c r="I4" t="str">
        <v xml:space="preserve">Korea Adaptation Center for Climate Change </v>
      </c>
    </row>
    <row r="5">
      <c r="A5" t="str">
        <v>이영수</v>
      </c>
      <c r="B5" t="str">
        <v>Lee, Youngsoo</v>
      </c>
      <c r="F5" t="str">
        <v>국토환경연구본부</v>
      </c>
      <c r="G5" t="str">
        <v xml:space="preserve">Land and Environment Research Group </v>
      </c>
      <c r="H5" t="str">
        <v>국토환경연구본부</v>
      </c>
      <c r="I5" t="str">
        <v xml:space="preserve">Land and Environment Research Group </v>
      </c>
    </row>
    <row r="6">
      <c r="A6" t="str">
        <v>맹준호</v>
      </c>
      <c r="B6" t="str">
        <v>Maeng, Junho</v>
      </c>
      <c r="F6" t="str">
        <v>자연환경연구실</v>
      </c>
      <c r="G6" t="str">
        <v xml:space="preserve">Natural Environment Division </v>
      </c>
      <c r="H6" t="str">
        <v>국토환경연구본부</v>
      </c>
      <c r="I6" t="str">
        <v xml:space="preserve">Land and Environment Research Group </v>
      </c>
    </row>
    <row r="7">
      <c r="A7" t="str">
        <v>주현수</v>
      </c>
      <c r="B7" t="str">
        <v>Joo, Hyun-soo</v>
      </c>
      <c r="F7" t="str">
        <v>국토관리연구실</v>
      </c>
      <c r="G7" t="str">
        <v>Spatial Planning and Management Division</v>
      </c>
      <c r="H7" t="str">
        <v>국토환경연구본부</v>
      </c>
      <c r="I7" t="str">
        <v xml:space="preserve">Land and Environment Research Group </v>
      </c>
    </row>
    <row r="8">
      <c r="A8" t="str">
        <v>윤정호</v>
      </c>
      <c r="B8" t="str">
        <v>Yoon, Jeongho</v>
      </c>
      <c r="F8" t="str">
        <v>물관리연구실</v>
      </c>
      <c r="G8" t="str">
        <v xml:space="preserve">Water Management Division </v>
      </c>
      <c r="H8" t="str">
        <v>국토환경연구본부</v>
      </c>
      <c r="I8" t="str">
        <v xml:space="preserve">Land and Environment Research Group </v>
      </c>
    </row>
    <row r="9">
      <c r="A9" t="str">
        <v>최두연</v>
      </c>
      <c r="B9" t="str">
        <v>Choi, Dooyeon</v>
      </c>
      <c r="F9" t="str">
        <v>AI데이터팀</v>
      </c>
      <c r="G9" t="str">
        <v xml:space="preserve">AI and Data Team </v>
      </c>
      <c r="H9" t="str">
        <v>기획조정실</v>
      </c>
      <c r="I9" t="str">
        <v xml:space="preserve">Department of Planning and Strategy </v>
      </c>
    </row>
    <row r="10">
      <c r="A10" t="str">
        <v>정태영</v>
      </c>
      <c r="B10" t="str">
        <v>Chung, Taeyoung</v>
      </c>
      <c r="F10" t="str">
        <v>연구기획팀</v>
      </c>
      <c r="G10" t="str">
        <v>Research Planning Team</v>
      </c>
      <c r="H10" t="str">
        <v>기획조정실</v>
      </c>
      <c r="I10" t="str">
        <v xml:space="preserve">Department of Planning and Strategy </v>
      </c>
    </row>
    <row r="11">
      <c r="A11" t="str">
        <v>김용구</v>
      </c>
      <c r="B11" t="str">
        <v>Kim, Yonggu</v>
      </c>
      <c r="F11" t="str">
        <v>글로벌협력팀</v>
      </c>
      <c r="G11" t="str">
        <v>Global Cooperation Team</v>
      </c>
      <c r="H11" t="str">
        <v>기획조정실</v>
      </c>
      <c r="I11" t="str">
        <v xml:space="preserve">Department of Planning and Strategy </v>
      </c>
    </row>
    <row r="12">
      <c r="A12" t="str">
        <v>송은상</v>
      </c>
      <c r="B12" t="str">
        <v>Song, Eunsang</v>
      </c>
      <c r="F12" t="str">
        <v>소통협력팀</v>
      </c>
      <c r="G12" t="str">
        <v>Communication and Cooperation Team</v>
      </c>
      <c r="H12" t="str">
        <v>기획조정실</v>
      </c>
      <c r="I12" t="str">
        <v xml:space="preserve">Department of Planning and Strategy </v>
      </c>
    </row>
    <row r="13">
      <c r="A13" t="str">
        <v>주용준</v>
      </c>
      <c r="B13" t="str">
        <v>Joo, Yong-Joon</v>
      </c>
      <c r="F13" t="str">
        <v>성과관리팀</v>
      </c>
      <c r="G13" t="str">
        <v>Performance Management Team</v>
      </c>
      <c r="H13" t="str">
        <v>기획조정실</v>
      </c>
      <c r="I13" t="str">
        <v xml:space="preserve">Department of Planning and Strategy </v>
      </c>
    </row>
    <row r="14">
      <c r="A14" t="str">
        <v>이현우</v>
      </c>
      <c r="B14" t="str">
        <v>Lee, Hyun-Woo</v>
      </c>
      <c r="F14" t="str">
        <v>지식정보팀</v>
      </c>
      <c r="G14" t="str">
        <v>Knowledge and Information Team</v>
      </c>
      <c r="H14" t="str">
        <v>행정관리실</v>
      </c>
      <c r="I14" t="str">
        <v>Department of Administration</v>
      </c>
    </row>
    <row r="15">
      <c r="A15" t="str">
        <v>신용승</v>
      </c>
      <c r="B15" t="str">
        <v>Shin, Yongseung</v>
      </c>
      <c r="F15" t="str">
        <v>인재개발팀</v>
      </c>
      <c r="G15" t="str">
        <v>Human Resource Development Team</v>
      </c>
      <c r="H15" t="str">
        <v>행정관리실</v>
      </c>
      <c r="I15" t="str">
        <v>Department of Administration</v>
      </c>
    </row>
    <row r="16">
      <c r="A16" t="str">
        <v>이정호</v>
      </c>
      <c r="B16" t="str">
        <v>Lee, Jeongho</v>
      </c>
    </row>
    <row r="17">
      <c r="A17" t="str">
        <v>황상일</v>
      </c>
      <c r="B17" t="str">
        <v xml:space="preserve">Hwang, Sangil </v>
      </c>
    </row>
    <row r="18">
      <c r="A18" t="str">
        <v>안소은</v>
      </c>
      <c r="B18" t="str">
        <v xml:space="preserve">Ahn, SoEun </v>
      </c>
    </row>
    <row r="19">
      <c r="A19" t="str">
        <v>김종호</v>
      </c>
      <c r="B19" t="str">
        <v>Kim, Jongho</v>
      </c>
    </row>
    <row r="20">
      <c r="A20" t="str">
        <v>추장민</v>
      </c>
      <c r="B20" t="str">
        <v>Chu, Jangmin</v>
      </c>
      <c r="F20" t="str">
        <v>녹색경제연구실</v>
      </c>
      <c r="G20" t="str">
        <v xml:space="preserve">Green Economy Division </v>
      </c>
      <c r="H20" t="str">
        <v>기후대기전략연구본부</v>
      </c>
      <c r="I20" t="str">
        <v xml:space="preserve">Climate and Atmospheric Strategy Research Group  </v>
      </c>
    </row>
    <row r="21">
      <c r="A21" t="str">
        <v>이영순</v>
      </c>
      <c r="B21" t="str">
        <v>Lee, Youngsun</v>
      </c>
      <c r="F21" t="str">
        <v>대기환경연구실</v>
      </c>
      <c r="G21" t="str">
        <v>Atmospheric Environment Division</v>
      </c>
      <c r="H21" t="str">
        <v>기후대기전략연구본부</v>
      </c>
      <c r="I21" t="str">
        <v xml:space="preserve">Climate and Atmospheric Strategy Research Group  </v>
      </c>
    </row>
    <row r="22">
      <c r="A22" t="str">
        <v>문난경</v>
      </c>
      <c r="B22" t="str">
        <v>Moon, Nankyoung</v>
      </c>
      <c r="F22" t="str">
        <v>탄소중립연구실</v>
      </c>
      <c r="G22" t="str">
        <v xml:space="preserve">Carbon Neutrality Division </v>
      </c>
      <c r="H22" t="str">
        <v>기후대기전략연구본부</v>
      </c>
      <c r="I22" t="str">
        <v xml:space="preserve">Climate and Atmospheric Strategy Research Group  </v>
      </c>
    </row>
    <row r="23">
      <c r="A23" t="str">
        <v>선효성</v>
      </c>
      <c r="B23" t="str">
        <v>Sun, Hyosung</v>
      </c>
      <c r="F23" t="str">
        <v>기후대기전략연구본부</v>
      </c>
      <c r="G23" t="str">
        <v xml:space="preserve">Climate and Atmospheric Strategy Research Group  </v>
      </c>
      <c r="H23" t="str">
        <v>기후대기전략연구본부</v>
      </c>
      <c r="I23" t="str">
        <v xml:space="preserve">Climate and Atmospheric Strategy Research Group  </v>
      </c>
    </row>
    <row r="24">
      <c r="A24" t="str">
        <v>채여라</v>
      </c>
      <c r="B24" t="str">
        <v>Chae, Yeora</v>
      </c>
      <c r="F24" t="str">
        <v>임원실</v>
      </c>
      <c r="G24" t="str">
        <v>Executive Office</v>
      </c>
      <c r="H24" t="str">
        <v>임원실</v>
      </c>
      <c r="I24" t="str">
        <v>Executive Office</v>
      </c>
    </row>
    <row r="25">
      <c r="A25" t="str">
        <v>조공장</v>
      </c>
      <c r="B25" t="str">
        <v>Cho, Kongjang</v>
      </c>
      <c r="F25" t="str">
        <v>생활환경사회연구실</v>
      </c>
      <c r="G25" t="str">
        <v xml:space="preserve">Living Environment and Society Division </v>
      </c>
      <c r="H25" t="str">
        <v>지속가능발전연구본부</v>
      </c>
      <c r="I25" t="str">
        <v xml:space="preserve">Sustainable Development Research Group  </v>
      </c>
    </row>
    <row r="26">
      <c r="A26" t="str">
        <v>사공희</v>
      </c>
      <c r="B26" t="str">
        <v>Sagong, Hee</v>
      </c>
      <c r="F26" t="str">
        <v>순환경제연구실</v>
      </c>
      <c r="G26" t="str">
        <v xml:space="preserve">Circular Economy Division </v>
      </c>
      <c r="H26" t="str">
        <v>지속가능발전연구본부</v>
      </c>
      <c r="I26" t="str">
        <v xml:space="preserve">Sustainable Development Research Group  </v>
      </c>
    </row>
    <row r="27">
      <c r="A27" t="str">
        <v>전동준</v>
      </c>
      <c r="B27" t="str">
        <v>Chun, Dongjun</v>
      </c>
      <c r="F27" t="str">
        <v>환경보건연구실</v>
      </c>
      <c r="G27" t="str">
        <v xml:space="preserve">Environmental Health Division </v>
      </c>
      <c r="H27" t="str">
        <v>지속가능발전연구본부</v>
      </c>
      <c r="I27" t="str">
        <v xml:space="preserve">Sustainable Development Research Group  </v>
      </c>
    </row>
    <row r="28">
      <c r="A28" t="str">
        <v>신지영</v>
      </c>
      <c r="B28" t="str">
        <v>Shin, Jiyoung</v>
      </c>
      <c r="F28" t="str">
        <v>지속가능발전연구본부</v>
      </c>
      <c r="G28" t="str">
        <v xml:space="preserve">Sustainable Development Research Group  </v>
      </c>
      <c r="H28" t="str">
        <v>지속가능발전연구본부</v>
      </c>
      <c r="I28" t="str">
        <v xml:space="preserve">Sustainable Development Research Group  </v>
      </c>
    </row>
    <row r="29">
      <c r="A29" t="str">
        <v>임혜숙</v>
      </c>
      <c r="B29" t="str">
        <v>Lim, Hyesook</v>
      </c>
      <c r="F29" t="str">
        <v>환경평가본부</v>
      </c>
      <c r="G29" t="str">
        <v xml:space="preserve">Environmental Assessment Group </v>
      </c>
      <c r="H29" t="str">
        <v>환경평가본부</v>
      </c>
      <c r="I29" t="str">
        <v xml:space="preserve">Environmental Assessment Group </v>
      </c>
    </row>
    <row r="30">
      <c r="A30" t="str">
        <v>박하늘</v>
      </c>
      <c r="B30" t="str">
        <v>Park, Ha-neul</v>
      </c>
      <c r="F30" t="str">
        <v>사회기반평가실</v>
      </c>
      <c r="G30" t="str">
        <v xml:space="preserve">Social Infrastructure Assessment Division </v>
      </c>
      <c r="H30" t="str">
        <v>환경평가본부</v>
      </c>
      <c r="I30" t="str">
        <v xml:space="preserve">Environmental Assessment Group </v>
      </c>
    </row>
    <row r="31">
      <c r="A31" t="str">
        <v>하종식</v>
      </c>
      <c r="B31" t="str">
        <v>Ha, Jongsik</v>
      </c>
      <c r="F31" t="str">
        <v>기후에너지평가실</v>
      </c>
      <c r="G31" t="str">
        <v xml:space="preserve">Climate and Energy Assessment Division </v>
      </c>
      <c r="H31" t="str">
        <v>환경평가본부</v>
      </c>
      <c r="I31" t="str">
        <v xml:space="preserve">Environmental Assessment Group </v>
      </c>
    </row>
    <row r="32">
      <c r="A32" t="str">
        <v>이명진</v>
      </c>
      <c r="B32" t="str">
        <v>Lee, MoungJin</v>
      </c>
      <c r="F32" t="str">
        <v>환경자원평가실</v>
      </c>
      <c r="G32" t="str">
        <v xml:space="preserve">Environmental Resources Assessment Division </v>
      </c>
      <c r="H32" t="str">
        <v>환경평가본부</v>
      </c>
      <c r="I32" t="str">
        <v xml:space="preserve">Environmental Assessment Group </v>
      </c>
    </row>
    <row r="33">
      <c r="A33" t="str">
        <v>홍현정</v>
      </c>
      <c r="B33" t="str">
        <v>Hong, Hyunjung</v>
      </c>
      <c r="F33" t="str">
        <v>국토전략평가실</v>
      </c>
      <c r="G33" t="str">
        <v xml:space="preserve">Land Strategy Assessment Division </v>
      </c>
      <c r="H33" t="str">
        <v>환경평가본부</v>
      </c>
      <c r="I33" t="str">
        <v xml:space="preserve">Environmental Assessment Group </v>
      </c>
    </row>
    <row r="34">
      <c r="A34" t="str">
        <v>조한나</v>
      </c>
      <c r="B34" t="str">
        <v>Cho, Hanna</v>
      </c>
    </row>
    <row r="35">
      <c r="A35" t="str">
        <v>양일주</v>
      </c>
      <c r="B35" t="str">
        <v>Yang, Iljoo</v>
      </c>
    </row>
    <row r="36">
      <c r="A36" t="str">
        <v>정선희</v>
      </c>
      <c r="B36" t="str">
        <v>Jung, Seonhee</v>
      </c>
    </row>
    <row r="37">
      <c r="A37" t="str">
        <v>문준영</v>
      </c>
      <c r="B37" t="str">
        <v>Moon, Junyoung</v>
      </c>
    </row>
    <row r="38">
      <c r="A38" t="str">
        <v>이상엽</v>
      </c>
      <c r="B38" t="str">
        <v>Lee, Sangyoup</v>
      </c>
    </row>
    <row r="39">
      <c r="A39" t="str">
        <v>김호석</v>
      </c>
      <c r="B39" t="str">
        <v>Kim, Hoseok</v>
      </c>
    </row>
    <row r="40">
      <c r="A40" t="str">
        <v>한상운</v>
      </c>
      <c r="B40" t="str">
        <v>Han, Sangun</v>
      </c>
    </row>
    <row r="41">
      <c r="A41" t="str">
        <v>김태형</v>
      </c>
      <c r="B41" t="str">
        <v>Kim, Taehyoung</v>
      </c>
    </row>
    <row r="42">
      <c r="A42" t="str">
        <v>임영신</v>
      </c>
      <c r="B42" t="str">
        <v>Lim, Youngshin</v>
      </c>
    </row>
    <row r="43">
      <c r="A43" t="str">
        <v>이영미</v>
      </c>
      <c r="B43" t="str">
        <v>Lee, Youngmi</v>
      </c>
    </row>
    <row r="44">
      <c r="A44" t="str">
        <v>김익재</v>
      </c>
      <c r="B44" t="str">
        <v>Kim, Ikjae</v>
      </c>
      <c r="J44" t="str">
        <v>SP</v>
      </c>
    </row>
    <row r="45">
      <c r="A45" t="str">
        <v>명수정</v>
      </c>
      <c r="B45" t="str">
        <v>Myeong, Soojeong</v>
      </c>
    </row>
    <row r="46">
      <c r="A46" t="str">
        <v>최희선</v>
      </c>
      <c r="B46" t="str">
        <v>Choi, Hee-Sun</v>
      </c>
    </row>
    <row r="47">
      <c r="A47" t="str">
        <v>한대호</v>
      </c>
      <c r="B47" t="str">
        <v>Han, Daeho</v>
      </c>
    </row>
    <row r="48">
      <c r="A48" t="str">
        <v>조일현</v>
      </c>
      <c r="B48" t="str">
        <v>Cho, Ilhyun</v>
      </c>
    </row>
    <row r="49">
      <c r="A49" t="str">
        <v>신상철</v>
      </c>
      <c r="B49" t="str">
        <v>Shin, Sang-Cheol</v>
      </c>
    </row>
    <row r="50">
      <c r="A50" t="str">
        <v>안종호</v>
      </c>
      <c r="B50" t="str">
        <v>Ahn, Jongho</v>
      </c>
    </row>
    <row r="51">
      <c r="A51" t="str">
        <v>이진희</v>
      </c>
      <c r="B51" t="str">
        <v>Lee, Jinhee</v>
      </c>
      <c r="F51" t="str">
        <v>Working Paper</v>
      </c>
      <c r="G51" t="str">
        <v>BA</v>
      </c>
    </row>
    <row r="52">
      <c r="A52" t="str">
        <v>김영인</v>
      </c>
      <c r="B52" t="str">
        <v>Kim, Youngin</v>
      </c>
      <c r="F52" t="str">
        <v>General Project</v>
      </c>
      <c r="G52" t="str">
        <v>GP</v>
      </c>
      <c r="H52" t="str">
        <v>RR</v>
      </c>
      <c r="I52" t="str">
        <v>RI</v>
      </c>
    </row>
    <row r="53">
      <c r="A53" t="str">
        <v>조을생</v>
      </c>
      <c r="B53" t="str">
        <v>Cho, Eulsaeng</v>
      </c>
      <c r="F53" t="str">
        <v>Core Research</v>
      </c>
      <c r="G53" t="str">
        <v>RE</v>
      </c>
      <c r="H53" t="str">
        <v>RD</v>
      </c>
    </row>
    <row r="54">
      <c r="A54" t="str">
        <v>심창섭</v>
      </c>
      <c r="B54" t="str">
        <v>Shim, Changsub</v>
      </c>
      <c r="F54" t="str">
        <v>Policy Study</v>
      </c>
      <c r="G54" t="str">
        <v>WO</v>
      </c>
    </row>
    <row r="55">
      <c r="A55" t="str">
        <v>이정석</v>
      </c>
      <c r="B55" t="str">
        <v>Lee, Jeongseok</v>
      </c>
      <c r="F55" t="str">
        <v xml:space="preserve">Commissioned Research </v>
      </c>
      <c r="G55">
        <v>20</v>
      </c>
    </row>
    <row r="56">
      <c r="A56" t="str">
        <v>한혜진</v>
      </c>
      <c r="B56" t="str">
        <v>Han, Haejin</v>
      </c>
      <c r="F56" t="str">
        <v>Government Support Project</v>
      </c>
      <c r="G56" t="str">
        <v>GS</v>
      </c>
    </row>
    <row r="57">
      <c r="A57" t="str">
        <v>강형식</v>
      </c>
      <c r="B57" t="str">
        <v>Kang, Hyeongsik</v>
      </c>
    </row>
    <row r="58">
      <c r="A58" t="str">
        <v>정휘철</v>
      </c>
      <c r="B58" t="str">
        <v>Jung, Huicheul</v>
      </c>
    </row>
    <row r="59">
      <c r="A59" t="str">
        <v>배현주</v>
      </c>
      <c r="B59" t="str">
        <v>Bae, Hyun-Joo</v>
      </c>
    </row>
    <row r="60">
      <c r="A60" t="str">
        <v>김호정</v>
      </c>
      <c r="B60" t="str">
        <v>Kim, Hojeong</v>
      </c>
    </row>
    <row r="61">
      <c r="A61" t="str">
        <v>정우현</v>
      </c>
      <c r="B61" t="str">
        <v>Chung, Woo Hyun</v>
      </c>
    </row>
    <row r="62">
      <c r="A62" t="str">
        <v>조지혜</v>
      </c>
      <c r="B62" t="str">
        <v>Jo, Ji Hye</v>
      </c>
    </row>
    <row r="63">
      <c r="A63" t="str">
        <v>유선희</v>
      </c>
      <c r="B63" t="str">
        <v>You, Seonhee</v>
      </c>
    </row>
    <row r="64">
      <c r="A64" t="str">
        <v>현윤정</v>
      </c>
      <c r="B64" t="str">
        <v>Hyun, Yunjung</v>
      </c>
    </row>
    <row r="65">
      <c r="A65" t="str">
        <v>김태윤</v>
      </c>
      <c r="B65" t="str">
        <v>Kim, Taeyun</v>
      </c>
    </row>
    <row r="66">
      <c r="A66" t="str">
        <v>강성원</v>
      </c>
      <c r="B66" t="str">
        <v>Kang, Sungwon</v>
      </c>
    </row>
    <row r="67">
      <c r="A67" t="str">
        <v>오일찬</v>
      </c>
      <c r="B67" t="str">
        <v>Oh, Ilchan</v>
      </c>
    </row>
    <row r="68">
      <c r="A68" t="str">
        <v>강택구</v>
      </c>
      <c r="B68" t="str">
        <v>Kang, Taek Goo</v>
      </c>
    </row>
    <row r="69">
      <c r="A69" t="str">
        <v>한국진</v>
      </c>
      <c r="B69" t="str">
        <v>Hahn, Gukjin</v>
      </c>
    </row>
    <row r="70">
      <c r="A70" t="str">
        <v>최영웅</v>
      </c>
      <c r="B70" t="str">
        <v>Choi, Youngwoong</v>
      </c>
    </row>
    <row r="71">
      <c r="A71" t="str">
        <v>이승섭</v>
      </c>
      <c r="B71" t="str">
        <v>Lee, Seoungsup</v>
      </c>
    </row>
    <row r="72">
      <c r="A72" t="str">
        <v>이상윤</v>
      </c>
      <c r="B72" t="str">
        <v>Lee, Sangyun</v>
      </c>
    </row>
    <row r="73">
      <c r="A73" t="str">
        <v>간순영</v>
      </c>
      <c r="B73" t="str">
        <v>Gan, Sunyeong</v>
      </c>
    </row>
    <row r="74">
      <c r="A74" t="str">
        <v>천재홍</v>
      </c>
      <c r="B74" t="str">
        <v>Cheon, Jaehong</v>
      </c>
    </row>
    <row r="75">
      <c r="A75" t="str">
        <v>이영재</v>
      </c>
      <c r="B75" t="str">
        <v>Yi, Youngjae</v>
      </c>
    </row>
    <row r="76">
      <c r="A76" t="str">
        <v>김대식</v>
      </c>
      <c r="B76" t="str">
        <v>Kim, Dae Sik</v>
      </c>
    </row>
    <row r="77">
      <c r="A77" t="str">
        <v>이승준</v>
      </c>
      <c r="B77" t="str">
        <v>Lee, Seungjun</v>
      </c>
    </row>
    <row r="78">
      <c r="A78" t="str">
        <v>장훈</v>
      </c>
      <c r="B78" t="str">
        <v>Chang, Hoon</v>
      </c>
    </row>
    <row r="79">
      <c r="A79" t="str">
        <v>김태현</v>
      </c>
      <c r="B79" t="str">
        <v xml:space="preserve">Kim, Taehyun </v>
      </c>
    </row>
    <row r="80">
      <c r="A80" t="str">
        <v>류재나</v>
      </c>
      <c r="B80" t="str">
        <v>Ryu, Jaena</v>
      </c>
    </row>
    <row r="81">
      <c r="A81" t="str">
        <v>한진석</v>
      </c>
      <c r="B81" t="str">
        <v>Hahn, Jinseok</v>
      </c>
    </row>
    <row r="82">
      <c r="A82" t="str">
        <v>염기웅</v>
      </c>
      <c r="B82" t="str">
        <v>Yeom, Kiwoong</v>
      </c>
    </row>
    <row r="83">
      <c r="A83" t="str">
        <v>김충기</v>
      </c>
      <c r="B83" t="str">
        <v>Kim, Choong-ki</v>
      </c>
    </row>
    <row r="84">
      <c r="A84" t="str">
        <v>이승민</v>
      </c>
      <c r="B84" t="str">
        <v>Lee, Seungmin</v>
      </c>
    </row>
    <row r="85">
      <c r="A85" t="str">
        <v>공현숙</v>
      </c>
      <c r="B85" t="str">
        <v>Kong, Hyunsuk</v>
      </c>
    </row>
    <row r="86">
      <c r="A86" t="str">
        <v>박지현</v>
      </c>
      <c r="B86" t="str">
        <v>Park, Jihyeon</v>
      </c>
    </row>
    <row r="87">
      <c r="A87" t="str">
        <v>강주연</v>
      </c>
      <c r="B87" t="str">
        <v>Kang, Ju Youn</v>
      </c>
    </row>
    <row r="88">
      <c r="A88" t="str">
        <v>조연경</v>
      </c>
      <c r="B88" t="str">
        <v>Cho, Yeon Kyung</v>
      </c>
    </row>
    <row r="89">
      <c r="A89" t="str">
        <v>이소라</v>
      </c>
      <c r="B89" t="str">
        <v xml:space="preserve">Yi, Sora </v>
      </c>
    </row>
    <row r="90">
      <c r="A90" t="str">
        <v>김유미</v>
      </c>
      <c r="B90" t="str">
        <v>Kim, Yumi</v>
      </c>
    </row>
    <row r="91">
      <c r="A91" t="str">
        <v>서은주</v>
      </c>
      <c r="B91" t="str">
        <v>Seo, Eunju</v>
      </c>
    </row>
    <row r="92">
      <c r="A92" t="str">
        <v>정아영</v>
      </c>
      <c r="B92" t="str">
        <v>Jeong, Ayoung</v>
      </c>
    </row>
    <row r="93">
      <c r="A93" t="str">
        <v>김윤정</v>
      </c>
      <c r="B93" t="str">
        <v>Kim, Yoonjung</v>
      </c>
    </row>
    <row r="94">
      <c r="A94" t="str">
        <v>김근한</v>
      </c>
      <c r="B94" t="str">
        <v xml:space="preserve">Kim, Geunhan </v>
      </c>
    </row>
    <row r="95">
      <c r="A95" t="str">
        <v>손승우</v>
      </c>
      <c r="B95" t="str">
        <v>Son, Seungwoo</v>
      </c>
    </row>
    <row r="96">
      <c r="A96" t="str">
        <v>송지윤</v>
      </c>
      <c r="B96" t="str">
        <v xml:space="preserve">Song, Jiyoon </v>
      </c>
    </row>
    <row r="97">
      <c r="A97" t="str">
        <v>이어진</v>
      </c>
      <c r="B97" t="str">
        <v>Lee, Eojin</v>
      </c>
    </row>
    <row r="98">
      <c r="A98" t="str">
        <v>서현주</v>
      </c>
      <c r="B98" t="str">
        <v>Suh, Hyunjoo</v>
      </c>
    </row>
    <row r="99">
      <c r="A99" t="str">
        <v>김경호</v>
      </c>
      <c r="B99" t="str">
        <v>Kim, Kyoung-Ho</v>
      </c>
    </row>
    <row r="100">
      <c r="A100" t="str">
        <v>양경</v>
      </c>
      <c r="B100" t="str">
        <v xml:space="preserve">Yang, Kyung </v>
      </c>
    </row>
    <row r="101">
      <c r="A101" t="str">
        <v>지민규</v>
      </c>
      <c r="B101" t="str">
        <v>Ji, Min-Kyu</v>
      </c>
    </row>
    <row r="102">
      <c r="A102" t="str">
        <v>김현노</v>
      </c>
      <c r="B102" t="str">
        <v>Kim, Hyunno</v>
      </c>
    </row>
    <row r="103">
      <c r="A103" t="str">
        <v>이영준B</v>
      </c>
      <c r="B103" t="str">
        <v xml:space="preserve">Rhee, Youngjoon </v>
      </c>
    </row>
    <row r="104">
      <c r="A104" t="str">
        <v>안준영</v>
      </c>
      <c r="B104" t="str">
        <v>An, Junyeong</v>
      </c>
    </row>
    <row r="105">
      <c r="A105" t="str">
        <v>정다운</v>
      </c>
      <c r="B105" t="str">
        <v xml:space="preserve">Jung, Dawoon </v>
      </c>
    </row>
    <row r="106">
      <c r="A106" t="str">
        <v>박종윤</v>
      </c>
      <c r="B106" t="str">
        <v>Park, Jongyoon</v>
      </c>
    </row>
    <row r="107">
      <c r="A107" t="str">
        <v>조현주</v>
      </c>
      <c r="B107" t="str">
        <v>Cho, Hyunju</v>
      </c>
    </row>
    <row r="108">
      <c r="A108" t="str">
        <v>구경아</v>
      </c>
      <c r="B108" t="str">
        <v xml:space="preserve">Koo, Kyung Ah </v>
      </c>
    </row>
    <row r="109">
      <c r="A109" t="str">
        <v>권선용</v>
      </c>
      <c r="B109" t="str">
        <v>Kwon, Sunyong</v>
      </c>
    </row>
    <row r="110">
      <c r="A110" t="str">
        <v>이병권</v>
      </c>
      <c r="B110" t="str">
        <v>Lee, Byungkwon</v>
      </c>
    </row>
    <row r="111">
      <c r="A111" t="str">
        <v>이후승</v>
      </c>
      <c r="B111" t="str">
        <v>Lee, Who-Seung</v>
      </c>
    </row>
    <row r="112">
      <c r="A112" t="str">
        <v>신동원</v>
      </c>
      <c r="B112" t="str">
        <v>Shin, Dong Won</v>
      </c>
    </row>
    <row r="113">
      <c r="A113" t="str">
        <v>정선화</v>
      </c>
      <c r="B113" t="str">
        <v>Jung, Sunhwa</v>
      </c>
    </row>
    <row r="114">
      <c r="A114" t="str">
        <v>진대용</v>
      </c>
      <c r="B114" t="str">
        <v>Jin, Daeyong</v>
      </c>
    </row>
    <row r="115">
      <c r="A115" t="str">
        <v>최현진</v>
      </c>
      <c r="B115" t="str">
        <v xml:space="preserve">Choi, Hyun-Jin </v>
      </c>
    </row>
    <row r="116">
      <c r="A116" t="str">
        <v>홍한움</v>
      </c>
      <c r="B116" t="str">
        <v xml:space="preserve">Hong, Hanwoom  </v>
      </c>
    </row>
    <row r="117">
      <c r="A117" t="str">
        <v>최기철</v>
      </c>
      <c r="B117" t="str">
        <v>Choi, Ki-Chul</v>
      </c>
    </row>
    <row r="118">
      <c r="A118" t="str">
        <v>김도균</v>
      </c>
      <c r="B118" t="str">
        <v>Kim, Dokyun</v>
      </c>
    </row>
    <row r="119">
      <c r="A119" t="str">
        <v>주문솔</v>
      </c>
      <c r="B119" t="str">
        <v xml:space="preserve">Ju, Munsol </v>
      </c>
    </row>
    <row r="120">
      <c r="A120" t="str">
        <v>이승수</v>
      </c>
      <c r="B120" t="str">
        <v xml:space="preserve">Lee, Seungsoo </v>
      </c>
    </row>
    <row r="121">
      <c r="A121" t="str">
        <v>이문환</v>
      </c>
      <c r="B121" t="str">
        <v>Lee, Moonhwan</v>
      </c>
    </row>
    <row r="122">
      <c r="A122" t="str">
        <v>전동진</v>
      </c>
      <c r="B122" t="str">
        <v>Jeon, Dongjin</v>
      </c>
    </row>
    <row r="123">
      <c r="A123" t="str">
        <v>양유경</v>
      </c>
      <c r="B123" t="str">
        <v>Yang, Yookyung</v>
      </c>
    </row>
    <row r="124">
      <c r="A124" t="str">
        <v>이재혁</v>
      </c>
      <c r="B124" t="str">
        <v>Lee, Jae-hyuck</v>
      </c>
    </row>
    <row r="125">
      <c r="A125" t="str">
        <v>염정윤</v>
      </c>
      <c r="B125" t="str">
        <v>Yum, Jung-yoon</v>
      </c>
    </row>
    <row r="126">
      <c r="A126" t="str">
        <v>박진한</v>
      </c>
      <c r="B126" t="str">
        <v>Park, Jin-han</v>
      </c>
    </row>
    <row r="127">
      <c r="A127" t="str">
        <v>홍제우</v>
      </c>
      <c r="B127" t="str">
        <v>Hong, Je-woo</v>
      </c>
    </row>
    <row r="128">
      <c r="A128" t="str">
        <v>박주영</v>
      </c>
      <c r="B128" t="str">
        <v xml:space="preserve">Park, Juyoung </v>
      </c>
    </row>
    <row r="129">
      <c r="A129" t="str">
        <v>이정원</v>
      </c>
      <c r="B129" t="str">
        <v>Lee, Jungwon</v>
      </c>
    </row>
    <row r="130">
      <c r="A130" t="str">
        <v>김성진</v>
      </c>
      <c r="B130" t="str">
        <v>Kim, Sungjin</v>
      </c>
    </row>
    <row r="131">
      <c r="A131" t="str">
        <v>고현지</v>
      </c>
      <c r="B131" t="str">
        <v>Ko, Hyunji</v>
      </c>
    </row>
    <row r="132">
      <c r="A132" t="str">
        <v>김기현</v>
      </c>
      <c r="B132" t="str">
        <v>Kim, Kihyun</v>
      </c>
    </row>
    <row r="133">
      <c r="A133" t="str">
        <v>유근혜</v>
      </c>
      <c r="B133" t="str">
        <v>Yu, Geunhye</v>
      </c>
    </row>
    <row r="134">
      <c r="A134" t="str">
        <v>정기철</v>
      </c>
      <c r="B134" t="str">
        <v xml:space="preserve">Jung, Kichul </v>
      </c>
    </row>
    <row r="135">
      <c r="A135" t="str">
        <v>최형식</v>
      </c>
      <c r="B135" t="str">
        <v>Choi, Hyungsik</v>
      </c>
    </row>
    <row r="136">
      <c r="A136" t="str">
        <v>임형우</v>
      </c>
      <c r="B136" t="str">
        <v xml:space="preserve">Lim, Hyungwoo </v>
      </c>
    </row>
    <row r="137">
      <c r="A137" t="str">
        <v>이지영</v>
      </c>
      <c r="B137" t="str">
        <v>Lee, Ji-Young</v>
      </c>
    </row>
    <row r="138">
      <c r="A138" t="str">
        <v>박태호</v>
      </c>
      <c r="B138" t="str">
        <v>Park, Taeho</v>
      </c>
    </row>
    <row r="139">
      <c r="A139" t="str">
        <v>김수홍</v>
      </c>
      <c r="B139" t="str">
        <v>Kim, Soohong</v>
      </c>
    </row>
    <row r="140">
      <c r="A140" t="str">
        <v>문종우</v>
      </c>
      <c r="B140" t="str">
        <v xml:space="preserve">Moon, Jongwoo </v>
      </c>
    </row>
    <row r="141">
      <c r="A141" t="str">
        <v>최지은</v>
      </c>
      <c r="B141" t="str">
        <v xml:space="preserve">Choi, Jieun </v>
      </c>
    </row>
    <row r="142">
      <c r="A142" t="str">
        <v>김연중</v>
      </c>
      <c r="B142" t="str">
        <v>Kim, Yeonjoong</v>
      </c>
    </row>
    <row r="143">
      <c r="A143" t="str">
        <v>백동해</v>
      </c>
      <c r="B143" t="str">
        <v>Baek, Donghae</v>
      </c>
    </row>
    <row r="144">
      <c r="A144" t="str">
        <v>이정은</v>
      </c>
      <c r="B144" t="str">
        <v>Lee, Jeongeun</v>
      </c>
    </row>
    <row r="145">
      <c r="A145" t="str">
        <v>최광훈</v>
      </c>
      <c r="B145" t="str">
        <v>Choi, Kwanghun</v>
      </c>
    </row>
    <row r="146">
      <c r="A146" t="str">
        <v>최유영</v>
      </c>
      <c r="B146" t="str">
        <v>Choi, Yuyoung</v>
      </c>
    </row>
    <row r="147">
      <c r="A147" t="str">
        <v>김현규</v>
      </c>
      <c r="B147" t="str">
        <v xml:space="preserve">Kim, Hyun-gyu </v>
      </c>
    </row>
    <row r="148">
      <c r="A148" t="str">
        <v>한지현</v>
      </c>
      <c r="B148" t="str">
        <v xml:space="preserve">Han, Jihyun </v>
      </c>
    </row>
    <row r="149">
      <c r="A149" t="str">
        <v>정윤선</v>
      </c>
      <c r="B149" t="str">
        <v>Jeong, Yunsun</v>
      </c>
    </row>
    <row r="150">
      <c r="A150" t="str">
        <v>김샘이</v>
      </c>
      <c r="B150" t="str">
        <v>Kim, Saem Yi</v>
      </c>
    </row>
    <row r="151">
      <c r="A151" t="str">
        <v>박지환</v>
      </c>
      <c r="B151" t="str">
        <v>Park, Jihwan</v>
      </c>
    </row>
    <row r="152">
      <c r="A152" t="str">
        <v>허남주</v>
      </c>
      <c r="B152" t="str">
        <v xml:space="preserve">Heo, Namjoo </v>
      </c>
    </row>
    <row r="153">
      <c r="A153" t="str">
        <v>김도형</v>
      </c>
      <c r="B153" t="str">
        <v xml:space="preserve">Kim, Dohyeong </v>
      </c>
    </row>
    <row r="154">
      <c r="A154" t="str">
        <v>서정빈</v>
      </c>
      <c r="B154" t="str">
        <v xml:space="preserve">Seo, Jeongbyn </v>
      </c>
    </row>
    <row r="155">
      <c r="A155" t="str">
        <v>성경민</v>
      </c>
      <c r="B155" t="str">
        <v xml:space="preserve">Sung, Kyungmin </v>
      </c>
    </row>
    <row r="156">
      <c r="A156" t="str">
        <v>최미경</v>
      </c>
      <c r="B156" t="str">
        <v>Choi, Mikyoung</v>
      </c>
    </row>
    <row r="157">
      <c r="A157" t="str">
        <v>오명진</v>
      </c>
      <c r="B157" t="str">
        <v xml:space="preserve">Oh, Myoungjin </v>
      </c>
    </row>
    <row r="158">
      <c r="A158" t="str">
        <v>임미영</v>
      </c>
      <c r="B158" t="str">
        <v xml:space="preserve"> Lim, Miyoung</v>
      </c>
    </row>
    <row r="159">
      <c r="A159" t="str">
        <v>김현정</v>
      </c>
      <c r="B159" t="str">
        <v xml:space="preserve">Kim, Hyunjung </v>
      </c>
    </row>
    <row r="160">
      <c r="A160" t="str">
        <v>김효겸</v>
      </c>
      <c r="B160" t="str">
        <v>Kim, Hyo Gyeom</v>
      </c>
    </row>
    <row r="161">
      <c r="A161" t="str">
        <v>윤석환</v>
      </c>
      <c r="B161" t="str">
        <v>Yun, Seokhwan</v>
      </c>
    </row>
    <row r="162">
      <c r="A162" t="str">
        <v>곽진희</v>
      </c>
      <c r="B162" t="str">
        <v>Kwak, Jinhee</v>
      </c>
    </row>
    <row r="163">
      <c r="A163" t="str">
        <v>김홍균</v>
      </c>
      <c r="B163" t="str">
        <v>Kim, Hongkyun</v>
      </c>
    </row>
    <row r="164">
      <c r="A164" t="str">
        <v>이해미</v>
      </c>
      <c r="B164" t="str">
        <v xml:space="preserve">Lee, Haemi </v>
      </c>
    </row>
    <row r="165">
      <c r="A165" t="str">
        <v>박송미</v>
      </c>
      <c r="B165" t="str">
        <v>Park, Songmi</v>
      </c>
    </row>
    <row r="166">
      <c r="A166" t="str">
        <v>김유훈</v>
      </c>
      <c r="B166" t="str">
        <v>Kim, Yuhoon</v>
      </c>
    </row>
    <row r="167">
      <c r="A167" t="str">
        <v>이준범</v>
      </c>
      <c r="B167" t="str">
        <v>Lee, Junbeom</v>
      </c>
    </row>
    <row r="168">
      <c r="A168" t="str">
        <v>양태경</v>
      </c>
      <c r="B168" t="str">
        <v>Yang, Taegyeong</v>
      </c>
    </row>
    <row r="169">
      <c r="A169" t="str">
        <v>박현주</v>
      </c>
      <c r="B169" t="str">
        <v>Park, Hyunjoo</v>
      </c>
    </row>
    <row r="170">
      <c r="A170" t="str">
        <v>김선경</v>
      </c>
      <c r="B170" t="str">
        <v>Kim, Sunkyung</v>
      </c>
    </row>
    <row r="171">
      <c r="A171" t="str">
        <v>박진택</v>
      </c>
      <c r="B171" t="str">
        <v>Park, Jintaek</v>
      </c>
    </row>
    <row r="172">
      <c r="A172" t="str">
        <v>윤종휘</v>
      </c>
      <c r="B172" t="str">
        <v>Yun, Jong-Hwui</v>
      </c>
    </row>
    <row r="173">
      <c r="A173" t="str">
        <v>이상혁</v>
      </c>
      <c r="B173" t="str">
        <v>Lee, Sanghyeok</v>
      </c>
    </row>
    <row r="174">
      <c r="A174" t="str">
        <v>이상민</v>
      </c>
      <c r="B174" t="str">
        <v>Lee, Sang Min</v>
      </c>
    </row>
    <row r="175">
      <c r="A175" t="str">
        <v>정해상</v>
      </c>
      <c r="B175" t="str">
        <v>Jeong, Haesang</v>
      </c>
    </row>
    <row r="176">
      <c r="A176" t="str">
        <v>김우정</v>
      </c>
      <c r="B176" t="str">
        <v>Kim, Woo Jeong</v>
      </c>
    </row>
    <row r="177">
      <c r="A177" t="str">
        <v>강태운</v>
      </c>
      <c r="B177" t="str">
        <v>Kang, Taeun</v>
      </c>
    </row>
    <row r="178">
      <c r="A178" t="str">
        <v>송제희</v>
      </c>
      <c r="B178" t="str">
        <v>Song, Je Hui</v>
      </c>
    </row>
    <row r="179">
      <c r="A179" t="str">
        <v>전윤호</v>
      </c>
      <c r="B179" t="str">
        <v>Jeon, Yoonho</v>
      </c>
    </row>
    <row r="180">
      <c r="A180" t="str">
        <v>김강선</v>
      </c>
      <c r="B180" t="str">
        <v>Kim, Gangsun</v>
      </c>
    </row>
    <row r="181">
      <c r="A181" t="str">
        <v>김아라</v>
      </c>
      <c r="B181" t="str">
        <v xml:space="preserve">Kim, Ara </v>
      </c>
    </row>
    <row r="182">
      <c r="A182" t="str">
        <v>오후</v>
      </c>
      <c r="B182" t="str">
        <v>Oh, Hoo</v>
      </c>
    </row>
    <row r="183">
      <c r="A183" t="str">
        <v>박샘</v>
      </c>
      <c r="B183" t="str">
        <v>Park, Sam</v>
      </c>
    </row>
    <row r="184">
      <c r="A184" t="str">
        <v>이가원</v>
      </c>
      <c r="B184" t="str">
        <v xml:space="preserve">Lee, Khawon </v>
      </c>
    </row>
    <row r="185">
      <c r="A185" t="str">
        <v>임갑율</v>
      </c>
      <c r="B185" t="str">
        <v>Lim, Gabyul</v>
      </c>
    </row>
    <row r="186">
      <c r="A186" t="str">
        <v>유재신</v>
      </c>
      <c r="B186" t="str">
        <v>Yoo, Jaeshin</v>
      </c>
    </row>
    <row r="187">
      <c r="A187" t="str">
        <v>김재영</v>
      </c>
      <c r="B187" t="str">
        <v>Kim, Jaeyoung</v>
      </c>
    </row>
    <row r="188">
      <c r="A188" t="str">
        <v>이세호</v>
      </c>
      <c r="B188" t="str">
        <v>Lee, Seho</v>
      </c>
    </row>
    <row r="189">
      <c r="A189" t="str">
        <v>강예지</v>
      </c>
      <c r="B189" t="str">
        <v>Kang, Yeji</v>
      </c>
    </row>
    <row r="190">
      <c r="A190" t="str">
        <v>전정은</v>
      </c>
      <c r="B190" t="str">
        <v>Jeon, Jeongeun</v>
      </c>
    </row>
    <row r="191">
      <c r="A191" t="str">
        <v>김주현</v>
      </c>
      <c r="B191" t="str">
        <v>Kim, Juhyeon</v>
      </c>
    </row>
    <row r="192">
      <c r="A192" t="str">
        <v>신소영</v>
      </c>
      <c r="B192" t="str">
        <v>Shin, Soyoung</v>
      </c>
    </row>
    <row r="193">
      <c r="A193" t="str">
        <v>박수빈</v>
      </c>
      <c r="B193" t="str">
        <v>Park, Subin</v>
      </c>
    </row>
    <row r="194">
      <c r="A194" t="str">
        <v>이경은</v>
      </c>
      <c r="B194" t="str">
        <v xml:space="preserve">Lee, KyoungEun </v>
      </c>
    </row>
    <row r="195">
      <c r="A195" t="str">
        <v>이아람</v>
      </c>
      <c r="B195" t="str">
        <v>Lee, Aram</v>
      </c>
    </row>
    <row r="196">
      <c r="A196" t="str">
        <v>이모세</v>
      </c>
      <c r="B196" t="str">
        <v>Lee, Mose</v>
      </c>
    </row>
    <row r="197">
      <c r="A197" t="str">
        <v>강민근</v>
      </c>
      <c r="B197" t="str">
        <v>Kang, Mingeun</v>
      </c>
    </row>
    <row r="198">
      <c r="A198" t="str">
        <v>도세원</v>
      </c>
      <c r="B198" t="str">
        <v>Do, SeWon</v>
      </c>
    </row>
    <row r="199">
      <c r="A199" t="str">
        <v>류환희</v>
      </c>
      <c r="B199" t="str">
        <v>Ryu, Hwanhee</v>
      </c>
    </row>
    <row r="200">
      <c r="A200" t="str">
        <v>유혜연</v>
      </c>
      <c r="B200" t="str">
        <v xml:space="preserve">Yu, Hyeyeon </v>
      </c>
    </row>
    <row r="201">
      <c r="A201" t="str">
        <v>김규빈</v>
      </c>
      <c r="B201" t="str">
        <v>Kim, Kyubeen</v>
      </c>
    </row>
    <row r="202">
      <c r="A202" t="str">
        <v>오정모</v>
      </c>
      <c r="B202" t="str">
        <v>Oh, JeongMo</v>
      </c>
    </row>
    <row r="203">
      <c r="A203" t="str">
        <v>정봉석</v>
      </c>
      <c r="B203" t="str">
        <v>Jeong, Bongseok</v>
      </c>
    </row>
    <row r="204">
      <c r="A204" t="str">
        <v>문소희</v>
      </c>
      <c r="B204" t="str">
        <v>Moon, Sohee</v>
      </c>
    </row>
    <row r="205">
      <c r="A205" t="str">
        <v>양정현</v>
      </c>
      <c r="B205" t="str">
        <v>Yang, Jeong Hyun</v>
      </c>
    </row>
    <row r="206">
      <c r="A206" t="str">
        <v>김관목</v>
      </c>
      <c r="B206" t="str">
        <v xml:space="preserve">Kim, Kwanmok </v>
      </c>
    </row>
    <row r="207">
      <c r="A207" t="str">
        <v>이길상</v>
      </c>
      <c r="B207" t="str">
        <v>Lee, Gilsang</v>
      </c>
    </row>
    <row r="208">
      <c r="A208" t="str">
        <v>박현수</v>
      </c>
      <c r="B208" t="str">
        <v>Park, Hyeonsoo</v>
      </c>
    </row>
    <row r="209">
      <c r="A209" t="str">
        <v>이경원</v>
      </c>
      <c r="B209" t="str">
        <v xml:space="preserve">Lee, Kyungwon </v>
      </c>
    </row>
    <row r="210">
      <c r="A210" t="str">
        <v>신정원</v>
      </c>
      <c r="B210" t="str">
        <v>Shin, Jungwon</v>
      </c>
    </row>
    <row r="211">
      <c r="A211" t="str">
        <v>김은재</v>
      </c>
      <c r="B211" t="str">
        <v xml:space="preserve">Kim, Eunjae </v>
      </c>
    </row>
    <row r="212">
      <c r="A212" t="str">
        <v>김승기</v>
      </c>
      <c r="B212" t="str">
        <v>Kim, Seunggi</v>
      </c>
    </row>
    <row r="213">
      <c r="A213" t="str">
        <v>고예진</v>
      </c>
      <c r="B213" t="str">
        <v>Ko, yejin</v>
      </c>
    </row>
    <row r="214">
      <c r="A214" t="str">
        <v>변서현</v>
      </c>
      <c r="B214" t="str">
        <v>Byeon, Seohyun</v>
      </c>
    </row>
    <row r="215">
      <c r="A215" t="str">
        <v>강란희</v>
      </c>
      <c r="B215" t="str">
        <v>Kang, Ranhee</v>
      </c>
    </row>
    <row r="216">
      <c r="A216" t="str">
        <v>이은비</v>
      </c>
      <c r="B216" t="str">
        <v xml:space="preserve">Lee, Eunbi </v>
      </c>
    </row>
    <row r="217">
      <c r="A217" t="str">
        <v>강은옥</v>
      </c>
      <c r="B217" t="str">
        <v>Kang, Eunok</v>
      </c>
    </row>
    <row r="218">
      <c r="A218" t="str">
        <v>허준봉</v>
      </c>
      <c r="B218" t="str">
        <v>Heo, JunBong</v>
      </c>
    </row>
    <row r="219">
      <c r="A219" t="str">
        <v>이현선</v>
      </c>
      <c r="B219" t="str">
        <v>Lee, Hyun Seon</v>
      </c>
    </row>
    <row r="220">
      <c r="A220" t="str">
        <v>김현지</v>
      </c>
      <c r="B220" t="str">
        <v xml:space="preserve">Kim, Hyun Ji </v>
      </c>
    </row>
    <row r="221">
      <c r="A221" t="str">
        <v>김성현</v>
      </c>
      <c r="B221" t="str">
        <v xml:space="preserve"> Kim, Seonghyeon</v>
      </c>
    </row>
    <row r="222">
      <c r="A222" t="str">
        <v>이성숙</v>
      </c>
      <c r="B222" t="str">
        <v>Lee, Seongsuk</v>
      </c>
    </row>
    <row r="223">
      <c r="A223" t="str">
        <v>김하정</v>
      </c>
      <c r="B223" t="str">
        <v>Kim, Hajung</v>
      </c>
    </row>
    <row r="224">
      <c r="A224" t="str">
        <v>육지희</v>
      </c>
      <c r="B224" t="str">
        <v>Yuk, Jeehee</v>
      </c>
    </row>
    <row r="225">
      <c r="A225" t="str">
        <v>김유진</v>
      </c>
      <c r="B225" t="str">
        <v>Kim, Youjin</v>
      </c>
    </row>
    <row r="226">
      <c r="A226" t="str">
        <v>황무동</v>
      </c>
      <c r="B226" t="str">
        <v>Hwang, Mudong</v>
      </c>
    </row>
    <row r="227">
      <c r="A227" t="str">
        <v>류은혜</v>
      </c>
      <c r="B227" t="str">
        <v>Ryu, Eun Hye</v>
      </c>
    </row>
    <row r="228">
      <c r="A228" t="str">
        <v>최수빈</v>
      </c>
      <c r="B228" t="str">
        <v>Choi, Subin</v>
      </c>
    </row>
    <row r="229">
      <c r="A229" t="str">
        <v>홍지연</v>
      </c>
      <c r="B229" t="str">
        <v>Hong, Jiyeon</v>
      </c>
    </row>
    <row r="230">
      <c r="A230" t="str">
        <v>전설</v>
      </c>
      <c r="B230" t="str">
        <v xml:space="preserve">Jeon, Seol </v>
      </c>
    </row>
    <row r="231">
      <c r="A231" t="str">
        <v>김동범</v>
      </c>
      <c r="B231" t="str">
        <v>Kim, Dongbeom</v>
      </c>
    </row>
    <row r="232">
      <c r="A232" t="str">
        <v>이승해</v>
      </c>
      <c r="B232" t="str">
        <v>Lee, Seunghae</v>
      </c>
    </row>
    <row r="233">
      <c r="A233" t="str">
        <v>박주현</v>
      </c>
      <c r="B233" t="str">
        <v>Park, Joohyun</v>
      </c>
    </row>
    <row r="234">
      <c r="A234" t="str">
        <v>김지우</v>
      </c>
      <c r="B234" t="str">
        <v>Kim, Jiwoo</v>
      </c>
    </row>
    <row r="235">
      <c r="A235" t="str">
        <v>윤현빈</v>
      </c>
      <c r="B235" t="str">
        <v xml:space="preserve">Yoon, Hyunbin </v>
      </c>
    </row>
    <row r="236">
      <c r="A236" t="str">
        <v>김희준</v>
      </c>
      <c r="B236" t="str">
        <v xml:space="preserve">Kim, Heejun </v>
      </c>
    </row>
    <row r="237">
      <c r="A237" t="str">
        <v>정성용</v>
      </c>
      <c r="B237" t="str">
        <v>Jung, Sungyong</v>
      </c>
    </row>
    <row r="238">
      <c r="A238" t="str">
        <v>이정우</v>
      </c>
      <c r="B238" t="str">
        <v>Lee, Jeong U</v>
      </c>
    </row>
    <row r="239">
      <c r="A239" t="str">
        <v>김아린</v>
      </c>
      <c r="B239" t="str">
        <v>Kim, Arin</v>
      </c>
    </row>
    <row r="240">
      <c r="A240" t="str">
        <v>성열</v>
      </c>
      <c r="B240" t="str">
        <v>Sung, Yeol</v>
      </c>
    </row>
    <row r="241">
      <c r="A241" t="str">
        <v>고도연</v>
      </c>
      <c r="B241" t="str">
        <v xml:space="preserve">Ko, Doyeon </v>
      </c>
    </row>
    <row r="242">
      <c r="A242" t="str">
        <v>구본아</v>
      </c>
      <c r="B242" t="str">
        <v xml:space="preserve">Ku, Bona </v>
      </c>
    </row>
    <row r="243">
      <c r="A243" t="str">
        <v>이지우</v>
      </c>
      <c r="B243" t="str">
        <v>Lee, Jiwoo</v>
      </c>
    </row>
    <row r="244">
      <c r="A244" t="str">
        <v>현지민</v>
      </c>
      <c r="B244" t="str">
        <v xml:space="preserve">Hyun, Ji Min </v>
      </c>
    </row>
    <row r="245">
      <c r="A245" t="str">
        <v>이현지</v>
      </c>
      <c r="B245" t="str">
        <v>Lee, Hyunji</v>
      </c>
    </row>
    <row r="246">
      <c r="A246" t="str">
        <v>노준아</v>
      </c>
      <c r="B246" t="str">
        <v>Noh, Juna</v>
      </c>
    </row>
    <row r="247">
      <c r="A247" t="str">
        <v>황세원</v>
      </c>
      <c r="B247" t="str">
        <v>Hwang, Sewon</v>
      </c>
    </row>
    <row r="248">
      <c r="A248" t="str">
        <v>김지현</v>
      </c>
      <c r="B248" t="str">
        <v>Kim, Jihyun</v>
      </c>
    </row>
    <row r="249">
      <c r="A249" t="str">
        <v>오효경</v>
      </c>
      <c r="B249" t="str">
        <v>Oh, Hyokyung</v>
      </c>
    </row>
    <row r="250">
      <c r="A250" t="str">
        <v>정주현</v>
      </c>
      <c r="B250" t="str">
        <v>Jeong, Juhyeon</v>
      </c>
    </row>
    <row r="251">
      <c r="A251" t="str">
        <v>김희영</v>
      </c>
      <c r="B251" t="str">
        <v>Kim, Heeyoung</v>
      </c>
    </row>
    <row r="252">
      <c r="A252" t="str">
        <v>김정두</v>
      </c>
      <c r="B252" t="str">
        <v>Kim, Jeongdu</v>
      </c>
    </row>
    <row r="253">
      <c r="A253" t="str">
        <v>홍승혜</v>
      </c>
      <c r="B253" t="str">
        <v>Hong, Seunghye</v>
      </c>
    </row>
    <row r="254">
      <c r="A254" t="str">
        <v>전지예</v>
      </c>
      <c r="B254" t="str">
        <v>Jeon, Jiyea</v>
      </c>
    </row>
    <row r="255">
      <c r="A255" t="str">
        <v>김현우</v>
      </c>
      <c r="B255" t="str">
        <v>Kim, Hyunwoo</v>
      </c>
    </row>
    <row r="256">
      <c r="A256" t="str">
        <v>제정은</v>
      </c>
      <c r="B256" t="str">
        <v>Je, Jeongeun</v>
      </c>
    </row>
    <row r="257">
      <c r="A257" t="str">
        <v>양승수</v>
      </c>
      <c r="B257" t="str">
        <v>Yang, Seungsu</v>
      </c>
    </row>
    <row r="258">
      <c r="A258" t="str">
        <v>구영일</v>
      </c>
      <c r="B258" t="str">
        <v>Koo, Youngil</v>
      </c>
    </row>
    <row r="259">
      <c r="A259" t="str">
        <v>김민하</v>
      </c>
      <c r="B259" t="str">
        <v>Kim, Minha</v>
      </c>
    </row>
    <row r="260">
      <c r="A260" t="str">
        <v>서은희</v>
      </c>
      <c r="B260" t="str">
        <v>Seo, Eunhee</v>
      </c>
    </row>
    <row r="261">
      <c r="A261" t="str">
        <v>이소앙</v>
      </c>
      <c r="B261" t="str">
        <v>Lee, Soang</v>
      </c>
    </row>
    <row r="262">
      <c r="A262" t="str">
        <v>이은영</v>
      </c>
      <c r="B262" t="str">
        <v>Lee, Eunyoung</v>
      </c>
    </row>
    <row r="263">
      <c r="A263" t="str">
        <v>이홍림</v>
      </c>
      <c r="B263" t="str">
        <v>Lee, Honglim</v>
      </c>
    </row>
    <row r="264">
      <c r="A264" t="str">
        <v>정은혜</v>
      </c>
      <c r="B264" t="str">
        <v>Jung, Eunhye</v>
      </c>
    </row>
    <row r="265">
      <c r="A265" t="str">
        <v>김수빈</v>
      </c>
      <c r="B265" t="str">
        <v>Kim, Suebean</v>
      </c>
    </row>
    <row r="266">
      <c r="A266" t="str">
        <v>정슬기</v>
      </c>
      <c r="B266" t="str">
        <v xml:space="preserve"> Jeong, Seulgi</v>
      </c>
    </row>
    <row r="267">
      <c r="A267" t="str">
        <v>김도연</v>
      </c>
      <c r="B267" t="str">
        <v xml:space="preserve">Kim, Doyeon </v>
      </c>
    </row>
    <row r="268">
      <c r="A268" t="str">
        <v>강선아</v>
      </c>
      <c r="B268" t="str">
        <v xml:space="preserve">Kang, Suna </v>
      </c>
    </row>
    <row r="269">
      <c r="A269" t="str">
        <v>이선민</v>
      </c>
      <c r="B269" t="str">
        <v>Lee, Sunmin</v>
      </c>
    </row>
    <row r="270">
      <c r="A270" t="str">
        <v>서지현</v>
      </c>
      <c r="B270" t="str">
        <v>Seo, Jihyun</v>
      </c>
    </row>
    <row r="271">
      <c r="A271" t="str">
        <v>손성희</v>
      </c>
      <c r="B271" t="str">
        <v>Son, Sunghee</v>
      </c>
    </row>
    <row r="272">
      <c r="A272" t="str">
        <v>이기민</v>
      </c>
      <c r="B272" t="str">
        <v>Lee, Kimin</v>
      </c>
    </row>
    <row r="273">
      <c r="A273" t="str">
        <v>이다란</v>
      </c>
      <c r="B273" t="str">
        <v>Lee, Daran</v>
      </c>
    </row>
    <row r="274">
      <c r="A274" t="str">
        <v>장혜정</v>
      </c>
      <c r="B274" t="str">
        <v>Jang, Hyejung</v>
      </c>
    </row>
    <row r="275">
      <c r="A275" t="str">
        <v>최정욱</v>
      </c>
      <c r="B275" t="str">
        <v>Choi, Jungwook</v>
      </c>
    </row>
    <row r="276">
      <c r="A276" t="str">
        <v>경명수</v>
      </c>
      <c r="B276" t="str">
        <v xml:space="preserve">Kyung, Myeongsu </v>
      </c>
    </row>
    <row r="277">
      <c r="A277" t="str">
        <v>김교범</v>
      </c>
      <c r="B277" t="str">
        <v>Kim, Kyobum</v>
      </c>
    </row>
    <row r="278">
      <c r="A278" t="str">
        <v>나건수</v>
      </c>
      <c r="B278" t="str">
        <v>Na, Geonsoo</v>
      </c>
    </row>
    <row r="279">
      <c r="A279" t="str">
        <v>이지예</v>
      </c>
      <c r="B279" t="str">
        <v>Lee, Jiye</v>
      </c>
    </row>
    <row r="280">
      <c r="A280" t="str">
        <v>조윤랑</v>
      </c>
      <c r="B280" t="str">
        <v>Cho, Yoonrang</v>
      </c>
    </row>
    <row r="281">
      <c r="A281" t="str">
        <v>차은지</v>
      </c>
      <c r="B281" t="str">
        <v>Cha, Eun-Jee</v>
      </c>
    </row>
    <row r="282">
      <c r="A282" t="str">
        <v>홍우경</v>
      </c>
      <c r="B282" t="str">
        <v>Hong, Wookyoung</v>
      </c>
    </row>
    <row r="283">
      <c r="A283" t="str">
        <v>전진우</v>
      </c>
      <c r="B283" t="str">
        <v>Jeon, Jinwoo</v>
      </c>
    </row>
    <row r="284">
      <c r="A284" t="str">
        <v>황보은</v>
      </c>
      <c r="B284" t="str">
        <v>Hwang, Boeun</v>
      </c>
    </row>
    <row r="285">
      <c r="A285" t="str">
        <v>윤민지</v>
      </c>
      <c r="B285" t="str">
        <v>Yun, Minji</v>
      </c>
    </row>
    <row r="286">
      <c r="A286" t="str">
        <v>양준모</v>
      </c>
      <c r="B286" t="str">
        <v>Yang, Junmo</v>
      </c>
    </row>
    <row r="287">
      <c r="A287" t="str">
        <v>김준성</v>
      </c>
      <c r="B287" t="str">
        <v xml:space="preserve">Kim, Junsung </v>
      </c>
    </row>
    <row r="288">
      <c r="A288" t="str">
        <v>김지훈</v>
      </c>
      <c r="B288" t="str">
        <v>Kim, Jihun</v>
      </c>
    </row>
    <row r="289">
      <c r="A289" t="str">
        <v>전자영</v>
      </c>
      <c r="B289" t="str">
        <v>Jeon, Jayoung</v>
      </c>
    </row>
    <row r="290">
      <c r="A290" t="str">
        <v>권성훈</v>
      </c>
      <c r="B290" t="str">
        <v>Kwon, Sunghun</v>
      </c>
    </row>
    <row r="291">
      <c r="A291" t="str">
        <v>김민정</v>
      </c>
      <c r="B291" t="str">
        <v>Kim, Minjung</v>
      </c>
    </row>
    <row r="292">
      <c r="A292" t="str">
        <v>김도윤</v>
      </c>
      <c r="B292" t="str">
        <v>Kim, Doyoon</v>
      </c>
    </row>
    <row r="293">
      <c r="A293" t="str">
        <v>정도일</v>
      </c>
      <c r="B293" t="str">
        <v>Jeong, Doil</v>
      </c>
    </row>
    <row r="294">
      <c r="A294" t="str">
        <v>고인철</v>
      </c>
      <c r="B294" t="str">
        <v>Go, Inchul</v>
      </c>
    </row>
    <row r="295">
      <c r="A295" t="str">
        <v>조영일</v>
      </c>
      <c r="B295" t="str">
        <v xml:space="preserve"> Cho, Youngil</v>
      </c>
    </row>
    <row r="296">
      <c r="A296" t="str">
        <v>정하늘</v>
      </c>
      <c r="B296" t="str">
        <v xml:space="preserve">Jung, Hanul </v>
      </c>
    </row>
    <row r="297">
      <c r="A297" t="str">
        <v>배국표</v>
      </c>
      <c r="B297" t="str">
        <v>Pae, Kookpyo</v>
      </c>
    </row>
    <row r="298">
      <c r="A298" t="str">
        <v>이수재</v>
      </c>
      <c r="B298" t="str">
        <v>Lee, Soojae</v>
      </c>
    </row>
    <row r="299">
      <c r="A299" t="str">
        <v>공성용</v>
      </c>
      <c r="B299" t="str">
        <v>Gong, Sungyong</v>
      </c>
    </row>
    <row r="300">
      <c r="A300" t="str">
        <v>이병국</v>
      </c>
      <c r="B300" t="str">
        <v>Lee, Byungkook</v>
      </c>
    </row>
    <row r="301">
      <c r="A301" t="str">
        <v>송영일</v>
      </c>
      <c r="B301" t="str">
        <v>Song, Youngil</v>
      </c>
    </row>
    <row r="302">
      <c r="A302" t="str">
        <v>문현주</v>
      </c>
      <c r="B302" t="str">
        <v>Moon, Hyunjoo</v>
      </c>
    </row>
    <row r="303">
      <c r="A303" t="str">
        <v>이영준</v>
      </c>
      <c r="B303" t="str">
        <v>Lee, Youngjoon</v>
      </c>
    </row>
    <row r="304">
      <c r="A304" t="str">
        <v>유헌석</v>
      </c>
      <c r="B304" t="str">
        <v>Yoo, Heonseok</v>
      </c>
    </row>
    <row r="305">
      <c r="A305" t="str">
        <v>김택건</v>
      </c>
      <c r="B305" t="str">
        <v>Kim, Taeg Keon</v>
      </c>
    </row>
    <row r="306">
      <c r="A306" t="str">
        <v>김태우</v>
      </c>
    </row>
    <row r="307">
      <c r="A307" t="str">
        <v>이지민</v>
      </c>
      <c r="B307" t="str">
        <v>Lee, Jimin</v>
      </c>
    </row>
    <row r="308">
      <c r="A308" t="str">
        <v>이주양</v>
      </c>
      <c r="B308" t="str">
        <v xml:space="preserve">Lee, Juyang </v>
      </c>
    </row>
    <row r="309">
      <c r="A309" t="str">
        <v>노정담</v>
      </c>
      <c r="B309" t="str">
        <v xml:space="preserve">Noh, Jeongdam </v>
      </c>
    </row>
    <row r="310">
      <c r="A310" t="str">
        <v>권예진</v>
      </c>
      <c r="B310" t="str">
        <v>Kwon, Yejin</v>
      </c>
    </row>
    <row r="311">
      <c r="A311" t="str">
        <v>신경희</v>
      </c>
      <c r="B311" t="str">
        <v>Shin, Kyunghee</v>
      </c>
    </row>
    <row r="312">
      <c r="A312" t="str">
        <v>박준현</v>
      </c>
      <c r="B312" t="str">
        <v>Park, Jun Hyun</v>
      </c>
    </row>
    <row r="313">
      <c r="A313" t="str">
        <v>정벼리</v>
      </c>
      <c r="B313" t="str">
        <v>Jung, Byuree</v>
      </c>
    </row>
    <row r="314">
      <c r="A314" t="str">
        <v>정성운</v>
      </c>
      <c r="B314" t="str">
        <v>Jung, Sungwoon</v>
      </c>
    </row>
    <row r="315">
      <c r="A315" t="str">
        <v>공지영</v>
      </c>
      <c r="B315" t="str">
        <v>Gong, Jiyoung</v>
      </c>
    </row>
    <row r="316">
      <c r="A316" t="str">
        <v>서양원</v>
      </c>
      <c r="B316" t="str">
        <v>Suh, Yang-won</v>
      </c>
    </row>
    <row r="317">
      <c r="A317" t="str">
        <v>김이진</v>
      </c>
      <c r="B317" t="str">
        <v>Kim, Leejin</v>
      </c>
    </row>
    <row r="318">
      <c r="A318" t="str">
        <v>김이진</v>
      </c>
      <c r="B318" t="str">
        <v>Kim, Leejin</v>
      </c>
    </row>
    <row r="319">
      <c r="A319" t="str">
        <v>박창석</v>
      </c>
      <c r="B319" t="str">
        <v>Park, Chang Sug</v>
      </c>
    </row>
    <row r="320">
      <c r="A320" t="str">
        <v>송슬기</v>
      </c>
      <c r="B320" t="str">
        <v>Song, Seulki</v>
      </c>
    </row>
    <row r="321">
      <c r="A321" t="str">
        <v>손철희</v>
      </c>
      <c r="B321" t="str">
        <v>Son, Cheolhee</v>
      </c>
    </row>
    <row r="322">
      <c r="A322" t="str">
        <v>이상범</v>
      </c>
      <c r="B322" t="str">
        <v>Lee, Sangbum</v>
      </c>
    </row>
    <row r="323">
      <c r="A323" t="str">
        <v>강유진</v>
      </c>
      <c r="B323" t="str">
        <v>Kang, Eugene</v>
      </c>
    </row>
  </sheetData>
  <pageMargins left="0.7" right="0.7" top="0.75" bottom="0.75" header="0.3" footer="0.3"/>
  <ignoredErrors>
    <ignoredError numberStoredAsText="1" sqref="A1:J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DB1</vt:lpstr>
      <vt:lpstr>DB2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2025-12-03T08:38:45Z</dcterms:created>
  <dcterms:modified xsi:type="dcterms:W3CDTF">2026-04-17T02:00:13Z</dcterms:modified>
  <cp:lastModifiedBy>Kwanghun Choi</cp:lastModifiedBy>
  <dc:creator>KEI</dc:creator>
</cp:coreProperties>
</file>